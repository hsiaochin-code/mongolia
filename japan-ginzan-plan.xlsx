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每日行程" sheetId="3" state="visible" r:id="rId5"/>
    <sheet name="機票價格" sheetId="4" state="visible" r:id="rId6"/>
    <sheet name="方案比較" sheetId="5" state="visible" r:id="rId7"/>
    <sheet name="行程預算" sheetId="6" state="visible" r:id="rId8"/>
    <sheet name="待辦清單" sheetId="7" state="visible" r:id="rId9"/>
    <sheet name="資料來源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<sst xmlns="http://schemas.openxmlformats.org/spreadsheetml/2006/main" count="694" uniqueCount="441">
  <si>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</si>
  <si>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</si>
  <si>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</si>
  <si>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</si>
  <si>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</si>
  <si>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</si>
  <si>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</si>
  <si>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</si>
  <si>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</si>
  <si>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</si>
  <si>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</si>
  <si>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</si>
  <si>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</si>
  <si>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</si>
  <si>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</si>
  <si>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</si>
  <si>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</si>
  <si>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</si>
  <si>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</si>
  <si>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</si>
  <si>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</si>
  <si>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</si>
  <si>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</si>
  <si>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</si>
  <si>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</si>
  <si>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</si>
  <si>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</si>
  <si>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</si>
  <si>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</si>
  <si>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</si>
  <si>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</si>
  <si>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</si>
  <si>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</si>
  <si>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</si>
  <si>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</si>
  <si>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</si>
  <si>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</si>
  <si>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</si>
  <si>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</si>
  <si>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</si>
  <si>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</si>
  <si>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</si>
  <si>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</si>
  <si>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</si>
  <si>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</si>
  <si>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</si>
  <si>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</si>
  <si>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</si>
  <si>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</si>
  <si>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</si>
  <si>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</si>
  <si>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</si>
  <si>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</si>
  <si>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</si>
  <si>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</si>
  <si>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</si>
  <si>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</si>
  <si>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</si>
  <si>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</si>
  <si>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</si>
  <si>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</si>
  <si>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</si>
  <si>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</si>
  <si>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</si>
  <si>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</si>
  <si>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</si>
  <si>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</si>
  <si>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</si>
  <si>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</si>
  <si>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</si>
  <si>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</si>
  <si>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</si>
  <si>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</si>
  <si>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</si>
  <si>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</si>
  <si>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</si>
  <si>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</si>
  <si>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</si>
  <si>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</si>
  <si>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</si>
  <si>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</si>
  <si>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</si>
  <si>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</si>
  <si>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</si>
  <si>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</si>
  <si>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</si>
  <si>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</si>
  <si>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</si>
  <si>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</si>
  <si>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</si>
  <si>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</si>
  <si>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</si>
  <si>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</si>
  <si>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</si>
  <si>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</si>
  <si>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</si>
  <si>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</si>
  <si>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</si>
  <si>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</si>
  <si>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</si>
  <si>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</si>
  <si>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</si>
  <si>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</si>
  <si>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</si>
  <si>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t xml:space="preserve">時間</t>
  </si>
  <si>
    <t xml:space="preserve">行程</t>
  </si>
  <si>
    <t xml:space="preserve">交通</t>
  </si>
  <si>
    <t xml:space="preserve">備註</t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</si>
  <si>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</si>
  <si>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</si>
  <si>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</si>
  <si>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</si>
  <si>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</si>
  <si>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</si>
  <si>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</si>
  <si>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</si>
  <si>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</si>
  <si>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13:00</t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</si>
  <si>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</si>
  <si>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</si>
  <si>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</si>
  <si>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</si>
  <si>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</si>
  <si>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</si>
  <si>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</si>
  <si>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</si>
  <si>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</si>
  <si>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</si>
  <si>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</si>
  <si>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</si>
  <si>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</si>
  <si>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</si>
  <si>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</si>
  <si>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</si>
  <si>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</si>
  <si>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08:30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</si>
  <si>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</si>
  <si>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</si>
  <si>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</si>
  <si>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</si>
  <si>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</si>
  <si>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</si>
  <si>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</si>
  <si>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</si>
  <si>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</si>
  <si>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</si>
  <si>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</si>
  <si>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</si>
  <si>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</si>
  <si>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</si>
  <si>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15:30</t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</si>
  <si>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</si>
  <si>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</si>
  <si>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</si>
  <si>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</si>
  <si>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</si>
  <si>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</si>
  <si>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</si>
  <si>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</si>
  <si>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</si>
  <si>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</si>
  <si>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</si>
  <si>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</si>
  <si>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</si>
  <si>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</si>
  <si>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</si>
  <si>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</si>
  <si>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</si>
  <si>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</si>
  <si>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</si>
  <si>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</si>
  <si>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</si>
  <si>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</si>
  <si>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</si>
  <si>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</si>
  <si>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</si>
  <si>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</si>
  <si>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</si>
  <si>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</si>
  <si>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</si>
  <si>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</si>
  <si>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</si>
  <si>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</si>
  <si>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</si>
  <si>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</si>
  <si>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</si>
  <si>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</si>
  <si>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</si>
  <si>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</si>
  <si>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</si>
  <si>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</si>
  <si>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</si>
  <si>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</si>
  <si>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</si>
  <si>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</si>
  <si>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</si>
  <si>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</si>
  <si>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</si>
  <si>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</si>
  <si>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</si>
  <si>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</si>
  <si>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</si>
  <si>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</si>
  <si>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</si>
  <si>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</si>
  <si>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</si>
  <si>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</si>
  <si>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</si>
  <si>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</si>
  <si>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</si>
  <si>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</si>
  <si>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</si>
  <si>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</si>
  <si>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11:00</t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</si>
  <si>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</si>
  <si>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</si>
  <si>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</si>
  <si>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</si>
  <si>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</si>
  <si>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</si>
  <si>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</si>
  <si>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</si>
  <si>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</si>
  <si>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</si>
  <si>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</si>
  <si>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</si>
  <si>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</si>
  <si>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</si>
  <si>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</si>
  <si>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</si>
  <si>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</si>
  <si>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</si>
  <si>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</si>
  <si>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</si>
  <si>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</si>
  <si>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</si>
  <si>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</si>
  <si>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</si>
  <si>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</si>
  <si>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</si>
  <si>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</si>
  <si>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</si>
  <si>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</si>
  <si>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</si>
  <si>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</si>
  <si>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</si>
  <si>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</si>
  <si>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</si>
  <si>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</si>
  <si>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</si>
  <si>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</si>
  <si>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</si>
  <si>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</si>
  <si>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</si>
  <si>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</si>
  <si>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</si>
  <si>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</si>
  <si>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</si>
  <si>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</si>
  <si>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</si>
  <si>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</si>
  <si>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</si>
  <si>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</si>
  <si>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</si>
  <si>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</si>
  <si>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</si>
  <si>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</si>
  <si>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</si>
  <si>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</si>
  <si>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</si>
  <si>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</si>
  <si>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</si>
  <si>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</si>
  <si>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</si>
  <si>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</si>
  <si>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</si>
  <si>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</si>
  <si>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</si>
  <si>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</si>
  <si>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</si>
  <si>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</si>
  <si>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</si>
  <si>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</si>
  <si>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</si>
  <si>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</si>
  <si>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</si>
  <si>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</si>
  <si>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</si>
  <si>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</si>
  <si>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</si>
  <si>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</si>
  <si>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</si>
  <si>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</si>
  <si>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</si>
  <si>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</si>
  <si>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</si>
  <si>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</si>
  <si>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</si>
  <si>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</si>
  <si>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</si>
  <si>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</si>
  <si>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</si>
  <si>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</si>
  <si>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去程</t>
  </si>
  <si>
    <t xml:space="preserve">回程</t>
  </si>
  <si>
    <t xml:space="preserve">機票</t>
  </si>
  <si>
    <t xml:space="preserve">行李加購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</si>
  <si>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</si>
  <si>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</si>
  <si>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</si>
  <si>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</si>
  <si>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說明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</si>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</sst>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11</v>
      </c>
      <c r="B4" s="8" t="s">
        <v>104</v>
      </c>
      <c r="C4" s="8" t="s">
        <v>105</v>
      </c>
      <c r="D4" s="8" t="s">
        <v>106</v>
      </c>
      <c r="E4" s="8" t="s">
        <v>107</v>
      </c>
    </row>
    <row r="5" customFormat="false" ht="15" hidden="false" customHeight="false" outlineLevel="0" collapsed="false">
      <c r="A5" s="26" t="s">
        <v>108</v>
      </c>
      <c r="B5" s="27" t="s">
        <v>109</v>
      </c>
      <c r="C5" s="28" t="s">
        <v>110</v>
      </c>
      <c r="D5" s="28" t="s">
        <v>111</v>
      </c>
      <c r="E5" s="28" t="s">
        <v>112</v>
      </c>
    </row>
    <row r="6" customFormat="false" ht="15" hidden="false" customHeight="false" outlineLevel="0" collapsed="false">
      <c r="A6" s="16"/>
      <c r="B6" s="20" t="s">
        <v>113</v>
      </c>
      <c r="C6" s="16" t="s">
        <v>114</v>
      </c>
      <c r="D6" s="16" t="s">
        <v>115</v>
      </c>
      <c r="E6" s="16" t="s">
        <v>116</v>
      </c>
    </row>
    <row r="7" customFormat="false" ht="15" hidden="false" customHeight="false" outlineLevel="0" collapsed="false">
      <c r="A7" s="16"/>
      <c r="B7" s="20" t="s">
        <v>117</v>
      </c>
      <c r="C7" s="16" t="s">
        <v>118</v>
      </c>
      <c r="D7" s="16"/>
      <c r="E7" s="16" t="s">
        <v>119</v>
      </c>
    </row>
    <row r="8" customFormat="false" ht="15" hidden="false" customHeight="false" outlineLevel="0" collapsed="false">
      <c r="A8" s="16"/>
      <c r="B8" s="20" t="s">
        <v>120</v>
      </c>
      <c r="C8" s="16" t="s">
        <v>121</v>
      </c>
      <c r="D8" s="16" t="s">
        <v>122</v>
      </c>
      <c r="E8" s="16" t="s">
        <v>123</v>
      </c>
    </row>
    <row r="9" customFormat="false" ht="15" hidden="false" customHeight="false" outlineLevel="0" collapsed="false">
      <c r="A9" s="16"/>
      <c r="B9" s="20" t="s">
        <v>124</v>
      </c>
      <c r="C9" s="16" t="s">
        <v>125</v>
      </c>
      <c r="D9" s="16"/>
      <c r="E9" s="16" t="s">
        <v>126</v>
      </c>
    </row>
    <row r="10" customFormat="false" ht="15" hidden="false" customHeight="false" outlineLevel="0" collapsed="false">
      <c r="A10" s="16"/>
      <c r="B10" s="20" t="s">
        <v>127</v>
      </c>
      <c r="C10" s="16" t="s">
        <v>128</v>
      </c>
      <c r="D10" s="16" t="s">
        <v>129</v>
      </c>
      <c r="E10" s="16" t="s">
        <v>130</v>
      </c>
    </row>
    <row r="11" customFormat="false" ht="15" hidden="false" customHeight="false" outlineLevel="0" collapsed="false">
      <c r="A11" s="16"/>
      <c r="B11" s="20" t="s">
        <v>131</v>
      </c>
      <c r="C11" s="16" t="s">
        <v>132</v>
      </c>
      <c r="D11" s="16"/>
      <c r="E11" s="16" t="s">
        <v>133</v>
      </c>
    </row>
    <row r="12" customFormat="false" ht="26.85" hidden="false" customHeight="false" outlineLevel="0" collapsed="false">
      <c r="A12" s="26" t="s">
        <v>134</v>
      </c>
      <c r="B12" s="27" t="s">
        <v>135</v>
      </c>
      <c r="C12" s="28" t="s">
        <v>136</v>
      </c>
      <c r="D12" s="27" t="s">
        <v>137</v>
      </c>
      <c r="E12" s="28" t="s">
        <v>138</v>
      </c>
    </row>
    <row r="13" customFormat="false" ht="15" hidden="false" customHeight="false" outlineLevel="0" collapsed="false">
      <c r="A13" s="16"/>
      <c r="B13" s="20" t="s">
        <v>139</v>
      </c>
      <c r="C13" s="16" t="s">
        <v>140</v>
      </c>
      <c r="D13" s="16"/>
      <c r="E13" s="16" t="s">
        <v>141</v>
      </c>
    </row>
    <row r="14" customFormat="false" ht="15" hidden="false" customHeight="false" outlineLevel="0" collapsed="false">
      <c r="A14" s="16"/>
      <c r="B14" s="20" t="s">
        <v>142</v>
      </c>
      <c r="C14" s="16" t="s">
        <v>143</v>
      </c>
      <c r="D14" s="16"/>
      <c r="E14" s="16"/>
    </row>
    <row r="15" customFormat="false" ht="15" hidden="false" customHeight="false" outlineLevel="0" collapsed="false">
      <c r="A15" s="16"/>
      <c r="B15" s="20" t="s">
        <v>144</v>
      </c>
      <c r="C15" s="16" t="s">
        <v>145</v>
      </c>
      <c r="D15" s="20" t="s">
        <v>146</v>
      </c>
      <c r="E15" s="16"/>
    </row>
    <row r="16" customFormat="false" ht="15" hidden="false" customHeight="false" outlineLevel="0" collapsed="false">
      <c r="A16" s="16"/>
      <c r="B16" s="20" t="s">
        <v>124</v>
      </c>
      <c r="C16" s="16" t="s">
        <v>147</v>
      </c>
      <c r="D16" s="16" t="s">
        <v>148</v>
      </c>
      <c r="E16" s="16" t="s">
        <v>149</v>
      </c>
    </row>
    <row r="17" customFormat="false" ht="15" hidden="false" customHeight="false" outlineLevel="0" collapsed="false">
      <c r="A17" s="16"/>
      <c r="B17" s="20" t="s">
        <v>150</v>
      </c>
      <c r="C17" s="16" t="s">
        <v>151</v>
      </c>
      <c r="D17" s="16"/>
      <c r="E17" s="16" t="s">
        <v>152</v>
      </c>
    </row>
    <row r="18" customFormat="false" ht="15" hidden="false" customHeight="false" outlineLevel="0" collapsed="false">
      <c r="A18" s="16"/>
      <c r="B18" s="20" t="s">
        <v>131</v>
      </c>
      <c r="C18" s="16" t="s">
        <v>153</v>
      </c>
      <c r="D18" s="16" t="s">
        <v>154</v>
      </c>
      <c r="E18" s="16" t="s">
        <v>155</v>
      </c>
    </row>
    <row r="19" customFormat="false" ht="15" hidden="false" customHeight="false" outlineLevel="0" collapsed="false">
      <c r="A19" s="26" t="s">
        <v>156</v>
      </c>
      <c r="B19" s="27" t="s">
        <v>135</v>
      </c>
      <c r="C19" s="28" t="s">
        <v>157</v>
      </c>
      <c r="D19" s="28" t="s">
        <v>158</v>
      </c>
      <c r="E19" s="28" t="s">
        <v>159</v>
      </c>
    </row>
    <row r="20" customFormat="false" ht="15" hidden="false" customHeight="false" outlineLevel="0" collapsed="false">
      <c r="A20" s="16"/>
      <c r="B20" s="20" t="s">
        <v>142</v>
      </c>
      <c r="C20" s="16" t="s">
        <v>160</v>
      </c>
      <c r="D20" s="16"/>
      <c r="E20" s="16"/>
    </row>
    <row r="21" customFormat="false" ht="15" hidden="false" customHeight="false" outlineLevel="0" collapsed="false">
      <c r="A21" s="16"/>
      <c r="B21" s="20" t="s">
        <v>161</v>
      </c>
      <c r="C21" s="16" t="s">
        <v>162</v>
      </c>
      <c r="D21" s="16" t="s">
        <v>148</v>
      </c>
      <c r="E21" s="16"/>
    </row>
    <row r="22" customFormat="false" ht="15" hidden="false" customHeight="false" outlineLevel="0" collapsed="false">
      <c r="A22" s="16"/>
      <c r="B22" s="20" t="s">
        <v>127</v>
      </c>
      <c r="C22" s="16" t="s">
        <v>163</v>
      </c>
      <c r="D22" s="16" t="s">
        <v>164</v>
      </c>
      <c r="E22" s="16" t="s">
        <v>165</v>
      </c>
    </row>
    <row r="23" customFormat="false" ht="15" hidden="false" customHeight="false" outlineLevel="0" collapsed="false">
      <c r="A23" s="16"/>
      <c r="B23" s="20" t="s">
        <v>131</v>
      </c>
      <c r="C23" s="16" t="s">
        <v>166</v>
      </c>
      <c r="D23" s="16"/>
      <c r="E23" s="16" t="s">
        <v>167</v>
      </c>
    </row>
    <row r="24" customFormat="false" ht="15" hidden="false" customHeight="false" outlineLevel="0" collapsed="false">
      <c r="A24" s="26" t="s">
        <v>168</v>
      </c>
      <c r="B24" s="27" t="s">
        <v>169</v>
      </c>
      <c r="C24" s="28" t="s">
        <v>170</v>
      </c>
      <c r="D24" s="28"/>
      <c r="E24" s="28" t="s">
        <v>171</v>
      </c>
    </row>
    <row r="25" customFormat="false" ht="26.85" hidden="false" customHeight="false" outlineLevel="0" collapsed="false">
      <c r="A25" s="16"/>
      <c r="B25" s="20" t="s">
        <v>172</v>
      </c>
      <c r="C25" s="16" t="s">
        <v>173</v>
      </c>
      <c r="D25" s="20" t="s">
        <v>174</v>
      </c>
      <c r="E25" s="16"/>
    </row>
    <row r="26" customFormat="false" ht="15" hidden="false" customHeight="false" outlineLevel="0" collapsed="false">
      <c r="A26" s="16"/>
      <c r="B26" s="20" t="s">
        <v>161</v>
      </c>
      <c r="C26" s="16" t="s">
        <v>175</v>
      </c>
      <c r="D26" s="16" t="s">
        <v>176</v>
      </c>
      <c r="E26" s="16" t="s">
        <v>177</v>
      </c>
    </row>
    <row r="27" customFormat="false" ht="15" hidden="false" customHeight="false" outlineLevel="0" collapsed="false">
      <c r="A27" s="12"/>
      <c r="B27" s="29" t="s">
        <v>127</v>
      </c>
      <c r="C27" s="12" t="s">
        <v>178</v>
      </c>
      <c r="D27" s="12"/>
      <c r="E27" s="12" t="s">
        <v>179</v>
      </c>
    </row>
    <row r="28" customFormat="false" ht="15" hidden="false" customHeight="false" outlineLevel="0" collapsed="false">
      <c r="A28" s="16"/>
      <c r="B28" s="20" t="s">
        <v>180</v>
      </c>
      <c r="C28" s="16" t="s">
        <v>181</v>
      </c>
      <c r="D28" s="16"/>
      <c r="E28" s="16" t="s">
        <v>182</v>
      </c>
    </row>
    <row r="29" customFormat="false" ht="15" hidden="false" customHeight="false" outlineLevel="0" collapsed="false">
      <c r="A29" s="16"/>
      <c r="B29" s="20" t="s">
        <v>183</v>
      </c>
      <c r="C29" s="16" t="s">
        <v>184</v>
      </c>
      <c r="D29" s="16"/>
      <c r="E29" s="16"/>
    </row>
    <row r="30" customFormat="false" ht="15" hidden="false" customHeight="false" outlineLevel="0" collapsed="false">
      <c r="A30" s="16"/>
      <c r="B30" s="20" t="s">
        <v>185</v>
      </c>
      <c r="C30" s="16" t="s">
        <v>186</v>
      </c>
      <c r="D30" s="16"/>
      <c r="E30" s="16" t="s">
        <v>187</v>
      </c>
    </row>
    <row r="31" customFormat="false" ht="15" hidden="false" customHeight="false" outlineLevel="0" collapsed="false">
      <c r="A31" s="26" t="s">
        <v>188</v>
      </c>
      <c r="B31" s="27" t="s">
        <v>189</v>
      </c>
      <c r="C31" s="28" t="s">
        <v>190</v>
      </c>
      <c r="D31" s="28"/>
      <c r="E31" s="28" t="s">
        <v>191</v>
      </c>
    </row>
    <row r="32" customFormat="false" ht="15" hidden="false" customHeight="false" outlineLevel="0" collapsed="false">
      <c r="A32" s="16"/>
      <c r="B32" s="20" t="s">
        <v>192</v>
      </c>
      <c r="C32" s="16" t="s">
        <v>193</v>
      </c>
      <c r="D32" s="16"/>
      <c r="E32" s="16"/>
    </row>
    <row r="33" customFormat="false" ht="15" hidden="false" customHeight="false" outlineLevel="0" collapsed="false">
      <c r="A33" s="16"/>
      <c r="B33" s="20" t="s">
        <v>194</v>
      </c>
      <c r="C33" s="16" t="s">
        <v>195</v>
      </c>
      <c r="D33" s="16" t="s">
        <v>196</v>
      </c>
      <c r="E33" s="16"/>
    </row>
    <row r="34" customFormat="false" ht="25.35" hidden="false" customHeight="false" outlineLevel="0" collapsed="false">
      <c r="A34" s="16"/>
      <c r="B34" s="20" t="s">
        <v>197</v>
      </c>
      <c r="C34" s="16" t="s">
        <v>198</v>
      </c>
      <c r="D34" s="20" t="s">
        <v>199</v>
      </c>
      <c r="E34" s="16" t="s">
        <v>200</v>
      </c>
    </row>
    <row r="35" customFormat="false" ht="15" hidden="false" customHeight="false" outlineLevel="0" collapsed="false">
      <c r="A35" s="16"/>
      <c r="B35" s="20" t="s">
        <v>124</v>
      </c>
      <c r="C35" s="16" t="s">
        <v>201</v>
      </c>
      <c r="D35" s="16"/>
      <c r="E35" s="16"/>
    </row>
    <row r="36" customFormat="false" ht="15" hidden="false" customHeight="false" outlineLevel="0" collapsed="false">
      <c r="A36" s="16"/>
      <c r="B36" s="20" t="s">
        <v>127</v>
      </c>
      <c r="C36" s="16" t="s">
        <v>202</v>
      </c>
      <c r="D36" s="16"/>
      <c r="E36" s="16" t="s">
        <v>203</v>
      </c>
    </row>
    <row r="37" customFormat="false" ht="15" hidden="false" customHeight="false" outlineLevel="0" collapsed="false">
      <c r="A37" s="16"/>
      <c r="B37" s="20" t="s">
        <v>183</v>
      </c>
      <c r="C37" s="16" t="s">
        <v>204</v>
      </c>
      <c r="D37" s="16"/>
      <c r="E37" s="16" t="s">
        <v>205</v>
      </c>
    </row>
    <row r="38" customFormat="false" ht="15" hidden="false" customHeight="false" outlineLevel="0" collapsed="false">
      <c r="A38" s="26" t="s">
        <v>206</v>
      </c>
      <c r="B38" s="27" t="s">
        <v>192</v>
      </c>
      <c r="C38" s="28" t="s">
        <v>207</v>
      </c>
      <c r="D38" s="28"/>
      <c r="E38" s="28"/>
    </row>
    <row r="39" customFormat="false" ht="15" hidden="false" customHeight="false" outlineLevel="0" collapsed="false">
      <c r="A39" s="16"/>
      <c r="B39" s="20" t="s">
        <v>135</v>
      </c>
      <c r="C39" s="16" t="s">
        <v>208</v>
      </c>
      <c r="D39" s="20" t="s">
        <v>209</v>
      </c>
      <c r="E39" s="16"/>
    </row>
    <row r="40" customFormat="false" ht="15" hidden="false" customHeight="false" outlineLevel="0" collapsed="false">
      <c r="A40" s="16"/>
      <c r="B40" s="20" t="s">
        <v>210</v>
      </c>
      <c r="C40" s="16" t="s">
        <v>211</v>
      </c>
      <c r="D40" s="16" t="s">
        <v>212</v>
      </c>
      <c r="E40" s="16"/>
    </row>
    <row r="41" customFormat="false" ht="15" hidden="false" customHeight="false" outlineLevel="0" collapsed="false">
      <c r="A41" s="16"/>
      <c r="B41" s="20" t="s">
        <v>213</v>
      </c>
      <c r="C41" s="16" t="s">
        <v>214</v>
      </c>
      <c r="D41" s="16" t="s">
        <v>215</v>
      </c>
      <c r="E41" s="16"/>
    </row>
    <row r="42" customFormat="false" ht="15" hidden="false" customHeight="false" outlineLevel="0" collapsed="false">
      <c r="A42" s="16"/>
      <c r="B42" s="20" t="s">
        <v>142</v>
      </c>
      <c r="C42" s="16" t="s">
        <v>216</v>
      </c>
      <c r="D42" s="16"/>
      <c r="E42" s="16" t="s">
        <v>217</v>
      </c>
    </row>
    <row r="43" customFormat="false" ht="15" hidden="false" customHeight="false" outlineLevel="0" collapsed="false">
      <c r="A43" s="16"/>
      <c r="B43" s="20" t="s">
        <v>161</v>
      </c>
      <c r="C43" s="16" t="s">
        <v>218</v>
      </c>
      <c r="D43" s="20" t="s">
        <v>209</v>
      </c>
      <c r="E43" s="16"/>
    </row>
    <row r="44" customFormat="false" ht="15" hidden="false" customHeight="false" outlineLevel="0" collapsed="false">
      <c r="A44" s="16"/>
      <c r="B44" s="20" t="s">
        <v>219</v>
      </c>
      <c r="C44" s="16" t="s">
        <v>220</v>
      </c>
      <c r="D44" s="16" t="s">
        <v>122</v>
      </c>
      <c r="E44" s="16" t="s">
        <v>221</v>
      </c>
    </row>
    <row r="45" customFormat="false" ht="15" hidden="false" customHeight="false" outlineLevel="0" collapsed="false">
      <c r="A45" s="16"/>
      <c r="B45" s="20" t="s">
        <v>222</v>
      </c>
      <c r="C45" s="16" t="s">
        <v>223</v>
      </c>
      <c r="D45" s="16"/>
      <c r="E45" s="16" t="s">
        <v>224</v>
      </c>
    </row>
    <row r="46" customFormat="false" ht="26.85" hidden="false" customHeight="false" outlineLevel="0" collapsed="false">
      <c r="A46" s="16"/>
      <c r="B46" s="20" t="s">
        <v>225</v>
      </c>
      <c r="C46" s="16" t="s">
        <v>226</v>
      </c>
      <c r="D46" s="16" t="s">
        <v>227</v>
      </c>
      <c r="E46" s="16" t="s">
        <v>228</v>
      </c>
    </row>
    <row r="48" customFormat="false" ht="15" hidden="false" customHeight="false" outlineLevel="0" collapsed="false">
      <c r="A48" s="2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230</v>
      </c>
    </row>
    <row r="2" customFormat="false" ht="15" hidden="false" customHeight="false" outlineLevel="0" collapsed="false">
      <c r="A2" s="2" t="s">
        <v>231</v>
      </c>
    </row>
    <row r="4" customFormat="false" ht="26.85" hidden="false" customHeight="false" outlineLevel="0" collapsed="false">
      <c r="A4" s="8" t="s">
        <v>232</v>
      </c>
      <c r="B4" s="8" t="s">
        <v>29</v>
      </c>
      <c r="C4" s="8" t="s">
        <v>30</v>
      </c>
      <c r="D4" s="8" t="s">
        <v>233</v>
      </c>
      <c r="E4" s="8" t="s">
        <v>234</v>
      </c>
      <c r="F4" s="8" t="s">
        <v>235</v>
      </c>
      <c r="G4" s="8" t="s">
        <v>236</v>
      </c>
      <c r="H4" s="8" t="s">
        <v>237</v>
      </c>
      <c r="I4" s="8" t="s">
        <v>238</v>
      </c>
      <c r="J4" s="8" t="s">
        <v>239</v>
      </c>
      <c r="K4" s="8" t="s">
        <v>240</v>
      </c>
      <c r="L4" s="8" t="s">
        <v>241</v>
      </c>
      <c r="M4" s="8" t="s">
        <v>242</v>
      </c>
      <c r="N4" s="8" t="s">
        <v>243</v>
      </c>
      <c r="O4" s="8" t="s">
        <v>244</v>
      </c>
      <c r="P4" s="8" t="s">
        <v>245</v>
      </c>
    </row>
    <row r="5" customFormat="false" ht="26.85" hidden="false" customHeight="false" outlineLevel="0" collapsed="false">
      <c r="A5" s="20" t="s">
        <v>246</v>
      </c>
      <c r="B5" s="16" t="s">
        <v>247</v>
      </c>
      <c r="C5" s="16" t="s">
        <v>44</v>
      </c>
      <c r="D5" s="20" t="s">
        <v>248</v>
      </c>
      <c r="E5" s="20" t="s">
        <v>249</v>
      </c>
      <c r="F5" s="20" t="s">
        <v>250</v>
      </c>
      <c r="G5" s="16" t="s">
        <v>251</v>
      </c>
      <c r="H5" s="21" t="n">
        <v>4743</v>
      </c>
      <c r="I5" s="21" t="n">
        <v>9676</v>
      </c>
      <c r="J5" s="30"/>
      <c r="K5" s="30"/>
      <c r="L5" s="31" t="n">
        <f aca="false">IF(J5&gt;0,J5,H5)</f>
        <v>4743</v>
      </c>
      <c r="M5" s="31" t="n">
        <f aca="false">IF(K5&gt;0,K5,I5)</f>
        <v>9676</v>
      </c>
      <c r="N5" s="16" t="s">
        <v>252</v>
      </c>
      <c r="O5" s="21" t="n">
        <v>950</v>
      </c>
      <c r="P5" s="16" t="s">
        <v>253</v>
      </c>
    </row>
    <row r="6" customFormat="false" ht="26.85" hidden="false" customHeight="false" outlineLevel="0" collapsed="false">
      <c r="A6" s="20" t="s">
        <v>254</v>
      </c>
      <c r="B6" s="16" t="s">
        <v>247</v>
      </c>
      <c r="C6" s="16" t="s">
        <v>37</v>
      </c>
      <c r="D6" s="20" t="s">
        <v>255</v>
      </c>
      <c r="E6" s="20" t="s">
        <v>256</v>
      </c>
      <c r="F6" s="20" t="s">
        <v>257</v>
      </c>
      <c r="G6" s="16" t="s">
        <v>258</v>
      </c>
      <c r="H6" s="21" t="n">
        <v>9845</v>
      </c>
      <c r="I6" s="21" t="n">
        <v>17878</v>
      </c>
      <c r="J6" s="30"/>
      <c r="K6" s="30"/>
      <c r="L6" s="31" t="n">
        <f aca="false">IF(J6&gt;0,J6,H6)</f>
        <v>9845</v>
      </c>
      <c r="M6" s="31" t="n">
        <f aca="false">IF(K6&gt;0,K6,I6)</f>
        <v>17878</v>
      </c>
      <c r="N6" s="16" t="s">
        <v>259</v>
      </c>
      <c r="O6" s="21" t="n">
        <v>0</v>
      </c>
      <c r="P6" s="16" t="s">
        <v>260</v>
      </c>
    </row>
    <row r="7" customFormat="false" ht="15" hidden="false" customHeight="false" outlineLevel="0" collapsed="false">
      <c r="A7" s="20" t="s">
        <v>261</v>
      </c>
      <c r="B7" s="16" t="s">
        <v>247</v>
      </c>
      <c r="C7" s="16" t="s">
        <v>41</v>
      </c>
      <c r="D7" s="20" t="s">
        <v>262</v>
      </c>
      <c r="E7" s="20" t="s">
        <v>263</v>
      </c>
      <c r="F7" s="20" t="s">
        <v>264</v>
      </c>
      <c r="G7" s="16" t="s">
        <v>265</v>
      </c>
      <c r="H7" s="21" t="n">
        <v>9720</v>
      </c>
      <c r="I7" s="21" t="n">
        <v>19586</v>
      </c>
      <c r="J7" s="30"/>
      <c r="K7" s="30"/>
      <c r="L7" s="31" t="n">
        <f aca="false">IF(J7&gt;0,J7,H7)</f>
        <v>9720</v>
      </c>
      <c r="M7" s="31" t="n">
        <f aca="false">IF(K7&gt;0,K7,I7)</f>
        <v>19586</v>
      </c>
      <c r="N7" s="16" t="s">
        <v>259</v>
      </c>
      <c r="O7" s="21" t="n">
        <v>0</v>
      </c>
      <c r="P7" s="16" t="s">
        <v>266</v>
      </c>
    </row>
    <row r="8" customFormat="false" ht="26.85" hidden="false" customHeight="false" outlineLevel="0" collapsed="false">
      <c r="A8" s="20" t="s">
        <v>267</v>
      </c>
      <c r="B8" s="16" t="s">
        <v>268</v>
      </c>
      <c r="C8" s="16" t="s">
        <v>37</v>
      </c>
      <c r="D8" s="20" t="s">
        <v>269</v>
      </c>
      <c r="E8" s="20" t="s">
        <v>270</v>
      </c>
      <c r="F8" s="16" t="s">
        <v>271</v>
      </c>
      <c r="G8" s="16" t="s">
        <v>265</v>
      </c>
      <c r="H8" s="21" t="n">
        <v>10361</v>
      </c>
      <c r="I8" s="21" t="n">
        <v>16526</v>
      </c>
      <c r="J8" s="30"/>
      <c r="K8" s="30"/>
      <c r="L8" s="31" t="n">
        <f aca="false">IF(J8&gt;0,J8,H8)</f>
        <v>10361</v>
      </c>
      <c r="M8" s="31" t="n">
        <f aca="false">IF(K8&gt;0,K8,I8)</f>
        <v>16526</v>
      </c>
      <c r="N8" s="16" t="s">
        <v>259</v>
      </c>
      <c r="O8" s="21" t="n">
        <v>0</v>
      </c>
      <c r="P8" s="16" t="s">
        <v>272</v>
      </c>
    </row>
    <row r="9" customFormat="false" ht="26.85" hidden="false" customHeight="false" outlineLevel="0" collapsed="false">
      <c r="A9" s="20" t="s">
        <v>273</v>
      </c>
      <c r="B9" s="16" t="s">
        <v>268</v>
      </c>
      <c r="C9" s="16" t="s">
        <v>274</v>
      </c>
      <c r="D9" s="20" t="s">
        <v>275</v>
      </c>
      <c r="E9" s="20" t="s">
        <v>276</v>
      </c>
      <c r="F9" s="16" t="s">
        <v>271</v>
      </c>
      <c r="G9" s="16" t="s">
        <v>265</v>
      </c>
      <c r="H9" s="21" t="n">
        <v>10361</v>
      </c>
      <c r="I9" s="21" t="n">
        <v>16526</v>
      </c>
      <c r="J9" s="30"/>
      <c r="K9" s="30"/>
      <c r="L9" s="31" t="n">
        <f aca="false">IF(J9&gt;0,J9,H9)</f>
        <v>10361</v>
      </c>
      <c r="M9" s="31" t="n">
        <f aca="false">IF(K9&gt;0,K9,I9)</f>
        <v>16526</v>
      </c>
      <c r="N9" s="16" t="s">
        <v>259</v>
      </c>
      <c r="O9" s="21" t="n">
        <v>0</v>
      </c>
      <c r="P9" s="16" t="s">
        <v>277</v>
      </c>
    </row>
    <row r="10" customFormat="false" ht="26.85" hidden="false" customHeight="false" outlineLevel="0" collapsed="false">
      <c r="A10" s="20" t="s">
        <v>278</v>
      </c>
      <c r="B10" s="16" t="s">
        <v>268</v>
      </c>
      <c r="C10" s="16" t="s">
        <v>279</v>
      </c>
      <c r="D10" s="20" t="s">
        <v>280</v>
      </c>
      <c r="E10" s="20" t="s">
        <v>281</v>
      </c>
      <c r="F10" s="16" t="s">
        <v>271</v>
      </c>
      <c r="G10" s="16" t="s">
        <v>265</v>
      </c>
      <c r="H10" s="21" t="n">
        <v>10361</v>
      </c>
      <c r="I10" s="21" t="n">
        <v>16526</v>
      </c>
      <c r="J10" s="30"/>
      <c r="K10" s="30"/>
      <c r="L10" s="31" t="n">
        <f aca="false">IF(J10&gt;0,J10,H10)</f>
        <v>10361</v>
      </c>
      <c r="M10" s="31" t="n">
        <f aca="false">IF(K10&gt;0,K10,I10)</f>
        <v>16526</v>
      </c>
      <c r="N10" s="16" t="s">
        <v>259</v>
      </c>
      <c r="O10" s="21" t="n">
        <v>0</v>
      </c>
      <c r="P10" s="16" t="s">
        <v>277</v>
      </c>
    </row>
    <row r="11" customFormat="false" ht="26.85" hidden="false" customHeight="false" outlineLevel="0" collapsed="false">
      <c r="A11" s="20" t="s">
        <v>282</v>
      </c>
      <c r="B11" s="16" t="s">
        <v>268</v>
      </c>
      <c r="C11" s="16" t="s">
        <v>283</v>
      </c>
      <c r="D11" s="20" t="s">
        <v>284</v>
      </c>
      <c r="E11" s="20" t="s">
        <v>285</v>
      </c>
      <c r="F11" s="16" t="s">
        <v>271</v>
      </c>
      <c r="G11" s="16" t="s">
        <v>265</v>
      </c>
      <c r="H11" s="21" t="n">
        <v>10361</v>
      </c>
      <c r="I11" s="21" t="n">
        <v>16526</v>
      </c>
      <c r="J11" s="30"/>
      <c r="K11" s="30"/>
      <c r="L11" s="31" t="n">
        <f aca="false">IF(J11&gt;0,J11,H11)</f>
        <v>10361</v>
      </c>
      <c r="M11" s="31" t="n">
        <f aca="false">IF(K11&gt;0,K11,I11)</f>
        <v>16526</v>
      </c>
      <c r="N11" s="16" t="s">
        <v>259</v>
      </c>
      <c r="O11" s="21" t="n">
        <v>0</v>
      </c>
      <c r="P11" s="16" t="s">
        <v>277</v>
      </c>
    </row>
    <row r="12" customFormat="false" ht="26.85" hidden="false" customHeight="false" outlineLevel="0" collapsed="false">
      <c r="A12" s="20" t="s">
        <v>286</v>
      </c>
      <c r="B12" s="16" t="s">
        <v>287</v>
      </c>
      <c r="C12" s="16" t="s">
        <v>93</v>
      </c>
      <c r="D12" s="20" t="s">
        <v>288</v>
      </c>
      <c r="E12" s="16" t="s">
        <v>289</v>
      </c>
      <c r="F12" s="16" t="s">
        <v>289</v>
      </c>
      <c r="G12" s="16" t="s">
        <v>265</v>
      </c>
      <c r="H12" s="21" t="n">
        <v>5386</v>
      </c>
      <c r="I12" s="31" t="n">
        <f aca="false">H12*2</f>
        <v>10772</v>
      </c>
      <c r="J12" s="30"/>
      <c r="K12" s="30"/>
      <c r="L12" s="31" t="n">
        <f aca="false">IF(J12&gt;0,J12,H12)</f>
        <v>5386</v>
      </c>
      <c r="M12" s="31" t="n">
        <f aca="false">IF(K12&gt;0,K12,I12)</f>
        <v>10772</v>
      </c>
      <c r="N12" s="16" t="s">
        <v>252</v>
      </c>
      <c r="O12" s="21" t="n">
        <v>1000</v>
      </c>
      <c r="P12" s="16" t="s">
        <v>290</v>
      </c>
    </row>
    <row r="13" customFormat="false" ht="15" hidden="false" customHeight="false" outlineLevel="0" collapsed="false">
      <c r="A13" s="20" t="s">
        <v>291</v>
      </c>
      <c r="B13" s="16" t="s">
        <v>292</v>
      </c>
      <c r="C13" s="16" t="s">
        <v>293</v>
      </c>
      <c r="D13" s="20" t="s">
        <v>294</v>
      </c>
      <c r="E13" s="16" t="s">
        <v>289</v>
      </c>
      <c r="F13" s="16" t="s">
        <v>289</v>
      </c>
      <c r="G13" s="16" t="s">
        <v>265</v>
      </c>
      <c r="H13" s="21" t="n">
        <v>3748</v>
      </c>
      <c r="I13" s="31" t="n">
        <f aca="false">H13*2</f>
        <v>7496</v>
      </c>
      <c r="J13" s="30"/>
      <c r="K13" s="30"/>
      <c r="L13" s="31" t="n">
        <f aca="false">IF(J13&gt;0,J13,H13)</f>
        <v>3748</v>
      </c>
      <c r="M13" s="31" t="n">
        <f aca="false">IF(K13&gt;0,K13,I13)</f>
        <v>7496</v>
      </c>
      <c r="N13" s="16" t="s">
        <v>252</v>
      </c>
      <c r="O13" s="21" t="n">
        <v>1000</v>
      </c>
      <c r="P13" s="16" t="s">
        <v>295</v>
      </c>
    </row>
    <row r="14" customFormat="false" ht="15" hidden="false" customHeight="false" outlineLevel="0" collapsed="false">
      <c r="A14" s="20" t="s">
        <v>296</v>
      </c>
      <c r="B14" s="16" t="s">
        <v>287</v>
      </c>
      <c r="C14" s="16" t="s">
        <v>44</v>
      </c>
      <c r="D14" s="20" t="s">
        <v>297</v>
      </c>
      <c r="E14" s="16" t="s">
        <v>289</v>
      </c>
      <c r="F14" s="16" t="s">
        <v>289</v>
      </c>
      <c r="G14" s="16" t="s">
        <v>265</v>
      </c>
      <c r="H14" s="21" t="n">
        <v>6702</v>
      </c>
      <c r="I14" s="31" t="n">
        <f aca="false">H14*2</f>
        <v>13404</v>
      </c>
      <c r="J14" s="30"/>
      <c r="K14" s="30"/>
      <c r="L14" s="31" t="n">
        <f aca="false">IF(J14&gt;0,J14,H14)</f>
        <v>6702</v>
      </c>
      <c r="M14" s="31" t="n">
        <f aca="false">IF(K14&gt;0,K14,I14)</f>
        <v>13404</v>
      </c>
      <c r="N14" s="16" t="s">
        <v>252</v>
      </c>
      <c r="O14" s="21" t="n">
        <v>950</v>
      </c>
      <c r="P14" s="16" t="s">
        <v>298</v>
      </c>
    </row>
    <row r="16" customFormat="false" ht="15" hidden="false" customHeight="false" outlineLevel="0" collapsed="false">
      <c r="A16" s="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300</v>
      </c>
    </row>
    <row r="2" customFormat="false" ht="15" hidden="false" customHeight="false" outlineLevel="0" collapsed="false">
      <c r="A2" s="2" t="s">
        <v>301</v>
      </c>
    </row>
    <row r="4" customFormat="false" ht="26.85" hidden="false" customHeight="false" outlineLevel="0" collapsed="false">
      <c r="A4" s="8" t="s">
        <v>302</v>
      </c>
      <c r="B4" s="8" t="s">
        <v>10</v>
      </c>
      <c r="C4" s="8" t="s">
        <v>11</v>
      </c>
      <c r="D4" s="8" t="s">
        <v>12</v>
      </c>
      <c r="E4" s="8" t="s">
        <v>303</v>
      </c>
      <c r="F4" s="8" t="s">
        <v>304</v>
      </c>
      <c r="G4" s="8" t="s">
        <v>305</v>
      </c>
      <c r="H4" s="8" t="s">
        <v>306</v>
      </c>
      <c r="I4" s="8" t="s">
        <v>307</v>
      </c>
      <c r="J4" s="8" t="s">
        <v>308</v>
      </c>
      <c r="K4" s="8" t="s">
        <v>309</v>
      </c>
      <c r="L4" s="8" t="s">
        <v>310</v>
      </c>
      <c r="M4" s="8" t="s">
        <v>311</v>
      </c>
    </row>
    <row r="5" customFormat="false" ht="39.55" hidden="false" customHeight="false" outlineLevel="0" collapsed="false">
      <c r="A5" s="29" t="s">
        <v>312</v>
      </c>
      <c r="B5" s="32" t="s">
        <v>313</v>
      </c>
      <c r="C5" s="29" t="s">
        <v>314</v>
      </c>
      <c r="D5" s="33" t="n">
        <v>4</v>
      </c>
      <c r="E5" s="29" t="s">
        <v>315</v>
      </c>
      <c r="F5" s="29" t="s">
        <v>316</v>
      </c>
      <c r="G5" s="11" t="n">
        <f aca="false">機票價格!L6+機票價格!L5</f>
        <v>14588</v>
      </c>
      <c r="H5" s="11" t="n">
        <f aca="false">機票價格!O5</f>
        <v>950</v>
      </c>
      <c r="I5" s="34" t="n">
        <v>0</v>
      </c>
      <c r="J5" s="35" t="n">
        <f aca="false">I5*總覽!$B$5</f>
        <v>0</v>
      </c>
      <c r="K5" s="35" t="n">
        <f aca="false">G5+H5+J5</f>
        <v>15538</v>
      </c>
      <c r="L5" s="29" t="s">
        <v>317</v>
      </c>
      <c r="M5" s="12" t="s">
        <v>318</v>
      </c>
    </row>
    <row r="6" customFormat="false" ht="26.85" hidden="false" customHeight="false" outlineLevel="0" collapsed="false">
      <c r="A6" s="20" t="s">
        <v>319</v>
      </c>
      <c r="B6" s="16" t="s">
        <v>320</v>
      </c>
      <c r="C6" s="20" t="s">
        <v>314</v>
      </c>
      <c r="D6" s="36" t="n">
        <v>4</v>
      </c>
      <c r="E6" s="20" t="s">
        <v>321</v>
      </c>
      <c r="F6" s="20" t="s">
        <v>322</v>
      </c>
      <c r="G6" s="15" t="n">
        <f aca="false">機票價格!M5</f>
        <v>9676</v>
      </c>
      <c r="H6" s="15" t="n">
        <f aca="false">2*機票價格!O5</f>
        <v>1900</v>
      </c>
      <c r="I6" s="37" t="n">
        <v>0</v>
      </c>
      <c r="J6" s="31" t="n">
        <f aca="false">I6*總覽!$B$5</f>
        <v>0</v>
      </c>
      <c r="K6" s="31" t="n">
        <f aca="false">G6+H6+J6</f>
        <v>11576</v>
      </c>
      <c r="L6" s="20" t="s">
        <v>317</v>
      </c>
      <c r="M6" s="16" t="s">
        <v>323</v>
      </c>
    </row>
    <row r="7" customFormat="false" ht="15" hidden="false" customHeight="false" outlineLevel="0" collapsed="false">
      <c r="A7" s="20" t="s">
        <v>324</v>
      </c>
      <c r="B7" s="16" t="s">
        <v>325</v>
      </c>
      <c r="C7" s="20" t="s">
        <v>326</v>
      </c>
      <c r="D7" s="36" t="n">
        <v>3</v>
      </c>
      <c r="E7" s="20" t="s">
        <v>327</v>
      </c>
      <c r="F7" s="20" t="s">
        <v>322</v>
      </c>
      <c r="G7" s="15" t="n">
        <f aca="false">機票價格!L6+機票價格!L5</f>
        <v>14588</v>
      </c>
      <c r="H7" s="15" t="n">
        <f aca="false">機票價格!O5</f>
        <v>950</v>
      </c>
      <c r="I7" s="37" t="n">
        <v>0</v>
      </c>
      <c r="J7" s="31" t="n">
        <f aca="false">I7*總覽!$B$5</f>
        <v>0</v>
      </c>
      <c r="K7" s="31" t="n">
        <f aca="false">G7+H7+J7</f>
        <v>15538</v>
      </c>
      <c r="L7" s="20" t="s">
        <v>317</v>
      </c>
      <c r="M7" s="16" t="s">
        <v>328</v>
      </c>
    </row>
    <row r="8" customFormat="false" ht="15" hidden="false" customHeight="false" outlineLevel="0" collapsed="false">
      <c r="A8" s="20" t="s">
        <v>329</v>
      </c>
      <c r="B8" s="16" t="s">
        <v>330</v>
      </c>
      <c r="C8" s="20" t="s">
        <v>326</v>
      </c>
      <c r="D8" s="36" t="n">
        <v>3</v>
      </c>
      <c r="E8" s="20" t="s">
        <v>331</v>
      </c>
      <c r="F8" s="20" t="s">
        <v>332</v>
      </c>
      <c r="G8" s="15" t="n">
        <f aca="false">機票價格!M7</f>
        <v>19586</v>
      </c>
      <c r="H8" s="15" t="n">
        <f aca="false">2*機票價格!O7</f>
        <v>0</v>
      </c>
      <c r="I8" s="37" t="n">
        <v>0</v>
      </c>
      <c r="J8" s="31" t="n">
        <f aca="false">I8*總覽!$B$5</f>
        <v>0</v>
      </c>
      <c r="K8" s="31" t="n">
        <f aca="false">G8+H8+J8</f>
        <v>19586</v>
      </c>
      <c r="L8" s="20" t="s">
        <v>317</v>
      </c>
      <c r="M8" s="16" t="s">
        <v>333</v>
      </c>
    </row>
    <row r="9" customFormat="false" ht="26.85" hidden="false" customHeight="false" outlineLevel="0" collapsed="false">
      <c r="A9" s="20" t="s">
        <v>334</v>
      </c>
      <c r="B9" s="16" t="s">
        <v>335</v>
      </c>
      <c r="C9" s="20" t="s">
        <v>314</v>
      </c>
      <c r="D9" s="36" t="n">
        <v>4</v>
      </c>
      <c r="E9" s="20" t="s">
        <v>336</v>
      </c>
      <c r="F9" s="20" t="s">
        <v>337</v>
      </c>
      <c r="G9" s="15" t="n">
        <f aca="false">機票價格!M8</f>
        <v>16526</v>
      </c>
      <c r="H9" s="15" t="n">
        <f aca="false">2*機票價格!O8</f>
        <v>0</v>
      </c>
      <c r="I9" s="37" t="n">
        <f aca="false">2*(12580+500)-1690-680*2</f>
        <v>23110</v>
      </c>
      <c r="J9" s="31" t="n">
        <f aca="false">I9*總覽!$B$5</f>
        <v>4853.1</v>
      </c>
      <c r="K9" s="31" t="n">
        <f aca="false">G9+H9+J9</f>
        <v>21379.1</v>
      </c>
      <c r="L9" s="20" t="s">
        <v>338</v>
      </c>
      <c r="M9" s="16" t="s">
        <v>339</v>
      </c>
    </row>
    <row r="10" customFormat="false" ht="15" hidden="false" customHeight="false" outlineLevel="0" collapsed="false">
      <c r="A10" s="20" t="s">
        <v>340</v>
      </c>
      <c r="B10" s="16" t="s">
        <v>341</v>
      </c>
      <c r="C10" s="20" t="s">
        <v>314</v>
      </c>
      <c r="D10" s="36" t="n">
        <v>4</v>
      </c>
      <c r="E10" s="20" t="s">
        <v>321</v>
      </c>
      <c r="F10" s="20" t="s">
        <v>337</v>
      </c>
      <c r="G10" s="15" t="n">
        <f aca="false">機票價格!L5+機票價格!L8</f>
        <v>15104</v>
      </c>
      <c r="H10" s="15" t="n">
        <f aca="false">機票價格!O5</f>
        <v>950</v>
      </c>
      <c r="I10" s="37" t="n">
        <f aca="false">12580+500-1690-680</f>
        <v>10710</v>
      </c>
      <c r="J10" s="31" t="n">
        <f aca="false">I10*總覽!$B$5</f>
        <v>2249.1</v>
      </c>
      <c r="K10" s="31" t="n">
        <f aca="false">G10+H10+J10</f>
        <v>18303.1</v>
      </c>
      <c r="L10" s="20" t="s">
        <v>317</v>
      </c>
      <c r="M10" s="16" t="s">
        <v>342</v>
      </c>
    </row>
    <row r="11" customFormat="false" ht="15" hidden="false" customHeight="false" outlineLevel="0" collapsed="false">
      <c r="A11" s="20" t="s">
        <v>343</v>
      </c>
      <c r="B11" s="16" t="s">
        <v>344</v>
      </c>
      <c r="C11" s="20" t="s">
        <v>314</v>
      </c>
      <c r="D11" s="36" t="n">
        <v>4</v>
      </c>
      <c r="E11" s="16" t="s">
        <v>345</v>
      </c>
      <c r="F11" s="16" t="s">
        <v>346</v>
      </c>
      <c r="G11" s="15" t="n">
        <f aca="false">機票價格!M12</f>
        <v>10772</v>
      </c>
      <c r="H11" s="15" t="n">
        <f aca="false">2*機票價格!O12</f>
        <v>2000</v>
      </c>
      <c r="I11" s="37" t="n">
        <f aca="false">2*(12580+500)-1690-680*2</f>
        <v>23110</v>
      </c>
      <c r="J11" s="31" t="n">
        <f aca="false">I11*總覽!$B$5</f>
        <v>4853.1</v>
      </c>
      <c r="K11" s="31" t="n">
        <f aca="false">G11+H11+J11</f>
        <v>17625.1</v>
      </c>
      <c r="L11" s="20" t="s">
        <v>338</v>
      </c>
      <c r="M11" s="16" t="s">
        <v>347</v>
      </c>
    </row>
    <row r="13" customFormat="false" ht="15" hidden="false" customHeight="false" outlineLevel="0" collapsed="false">
      <c r="A13" s="3" t="s">
        <v>348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349</v>
      </c>
    </row>
    <row r="2" customFormat="false" ht="15" hidden="false" customHeight="false" outlineLevel="0" collapsed="false">
      <c r="A2" s="2" t="s">
        <v>350</v>
      </c>
    </row>
    <row r="4" customFormat="false" ht="26.85" hidden="false" customHeight="false" outlineLevel="0" collapsed="false">
      <c r="A4" s="8" t="s">
        <v>11</v>
      </c>
      <c r="B4" s="8" t="s">
        <v>105</v>
      </c>
      <c r="C4" s="8" t="s">
        <v>351</v>
      </c>
      <c r="D4" s="8" t="s">
        <v>352</v>
      </c>
      <c r="E4" s="8" t="s">
        <v>353</v>
      </c>
      <c r="F4" s="8" t="s">
        <v>354</v>
      </c>
      <c r="G4" s="8" t="s">
        <v>355</v>
      </c>
      <c r="H4" s="8" t="s">
        <v>356</v>
      </c>
      <c r="I4" s="8" t="s">
        <v>357</v>
      </c>
      <c r="J4" s="8" t="s">
        <v>107</v>
      </c>
    </row>
    <row r="5" customFormat="false" ht="26.85" hidden="false" customHeight="false" outlineLevel="0" collapsed="false">
      <c r="A5" s="20" t="s">
        <v>35</v>
      </c>
      <c r="B5" s="16" t="s">
        <v>358</v>
      </c>
      <c r="C5" s="16" t="s">
        <v>359</v>
      </c>
      <c r="D5" s="37" t="n">
        <v>1310</v>
      </c>
      <c r="E5" s="16" t="s">
        <v>360</v>
      </c>
      <c r="F5" s="37" t="n">
        <v>9000</v>
      </c>
      <c r="G5" s="37" t="n">
        <v>570</v>
      </c>
      <c r="H5" s="38" t="n">
        <f aca="false">D5+F5+G5</f>
        <v>10880</v>
      </c>
      <c r="I5" s="31" t="n">
        <f aca="false">H5*總覽!$B$5</f>
        <v>2284.8</v>
      </c>
      <c r="J5" s="39" t="s">
        <v>361</v>
      </c>
    </row>
    <row r="6" customFormat="false" ht="26.85" hidden="false" customHeight="false" outlineLevel="0" collapsed="false">
      <c r="A6" s="20" t="s">
        <v>47</v>
      </c>
      <c r="B6" s="16" t="s">
        <v>362</v>
      </c>
      <c r="C6" s="20" t="s">
        <v>363</v>
      </c>
      <c r="D6" s="37" t="n">
        <v>2300</v>
      </c>
      <c r="E6" s="16" t="s">
        <v>364</v>
      </c>
      <c r="F6" s="37" t="n">
        <v>20000</v>
      </c>
      <c r="G6" s="37" t="n">
        <v>0</v>
      </c>
      <c r="H6" s="38" t="n">
        <f aca="false">D6+F6+G6</f>
        <v>22300</v>
      </c>
      <c r="I6" s="31" t="n">
        <f aca="false">H6*總覽!$B$5</f>
        <v>4683</v>
      </c>
      <c r="J6" s="39" t="s">
        <v>365</v>
      </c>
    </row>
    <row r="7" customFormat="false" ht="15" hidden="false" customHeight="false" outlineLevel="0" collapsed="false">
      <c r="A7" s="20" t="s">
        <v>49</v>
      </c>
      <c r="B7" s="16" t="s">
        <v>366</v>
      </c>
      <c r="C7" s="16" t="s">
        <v>367</v>
      </c>
      <c r="D7" s="37" t="n">
        <v>1200</v>
      </c>
      <c r="E7" s="16" t="s">
        <v>368</v>
      </c>
      <c r="F7" s="37" t="n">
        <v>8000</v>
      </c>
      <c r="G7" s="37" t="n">
        <v>4400</v>
      </c>
      <c r="H7" s="38" t="n">
        <f aca="false">D7+F7+G7</f>
        <v>13600</v>
      </c>
      <c r="I7" s="31" t="n">
        <f aca="false">H7*總覽!$B$5</f>
        <v>2856</v>
      </c>
      <c r="J7" s="39" t="s">
        <v>369</v>
      </c>
    </row>
    <row r="8" customFormat="false" ht="26.85" hidden="false" customHeight="false" outlineLevel="0" collapsed="false">
      <c r="A8" s="20" t="s">
        <v>370</v>
      </c>
      <c r="B8" s="16" t="s">
        <v>371</v>
      </c>
      <c r="C8" s="20" t="s">
        <v>372</v>
      </c>
      <c r="D8" s="37" t="n">
        <v>1900</v>
      </c>
      <c r="E8" s="16" t="s">
        <v>373</v>
      </c>
      <c r="F8" s="40" t="n">
        <f aca="false">總覽!B7</f>
        <v>0</v>
      </c>
      <c r="G8" s="37" t="n">
        <v>0</v>
      </c>
      <c r="H8" s="38" t="n">
        <f aca="false">D8+F8+G8</f>
        <v>1900</v>
      </c>
      <c r="I8" s="31" t="n">
        <f aca="false">H8*總覽!$B$5</f>
        <v>399</v>
      </c>
      <c r="J8" s="41" t="s">
        <v>374</v>
      </c>
    </row>
    <row r="9" customFormat="false" ht="15" hidden="false" customHeight="false" outlineLevel="0" collapsed="false">
      <c r="A9" s="20" t="s">
        <v>66</v>
      </c>
      <c r="B9" s="16" t="s">
        <v>375</v>
      </c>
      <c r="C9" s="16" t="s">
        <v>376</v>
      </c>
      <c r="D9" s="37" t="n">
        <v>2690</v>
      </c>
      <c r="E9" s="16" t="s">
        <v>360</v>
      </c>
      <c r="F9" s="37" t="n">
        <v>9000</v>
      </c>
      <c r="G9" s="37" t="n">
        <v>0</v>
      </c>
      <c r="H9" s="38" t="n">
        <f aca="false">D9+F9+G9</f>
        <v>11690</v>
      </c>
      <c r="I9" s="31" t="n">
        <f aca="false">H9*總覽!$B$5</f>
        <v>2454.9</v>
      </c>
      <c r="J9" s="39"/>
    </row>
    <row r="10" customFormat="false" ht="26.85" hidden="false" customHeight="false" outlineLevel="0" collapsed="false">
      <c r="A10" s="20" t="s">
        <v>58</v>
      </c>
      <c r="B10" s="16" t="s">
        <v>377</v>
      </c>
      <c r="C10" s="20" t="s">
        <v>378</v>
      </c>
      <c r="D10" s="37" t="n">
        <v>1540</v>
      </c>
      <c r="E10" s="20" t="s">
        <v>64</v>
      </c>
      <c r="F10" s="37" t="n">
        <v>0</v>
      </c>
      <c r="G10" s="37" t="n">
        <v>2200</v>
      </c>
      <c r="H10" s="38" t="n">
        <f aca="false">D10+F10+G10</f>
        <v>3740</v>
      </c>
      <c r="I10" s="31" t="n">
        <f aca="false">H10*總覽!$B$5</f>
        <v>785.4</v>
      </c>
      <c r="J10" s="39" t="s">
        <v>379</v>
      </c>
    </row>
    <row r="11" customFormat="false" ht="15" hidden="false" customHeight="false" outlineLevel="0" collapsed="false">
      <c r="A11" s="42" t="s">
        <v>25</v>
      </c>
      <c r="B11" s="16"/>
      <c r="C11" s="16"/>
      <c r="D11" s="43" t="n">
        <f aca="false">SUM(D5:D10)</f>
        <v>10940</v>
      </c>
      <c r="E11" s="16"/>
      <c r="F11" s="43" t="n">
        <f aca="false">SUM(F5:F10)</f>
        <v>46000</v>
      </c>
      <c r="G11" s="43" t="n">
        <f aca="false">SUM(G5:G10)</f>
        <v>7170</v>
      </c>
      <c r="H11" s="43" t="n">
        <f aca="false">SUM(H5:H10)</f>
        <v>64110</v>
      </c>
      <c r="I11" s="44" t="n">
        <f aca="false">SUM(I5:I10)</f>
        <v>13463.1</v>
      </c>
      <c r="J11" s="16"/>
    </row>
    <row r="12" customFormat="false" ht="15" hidden="false" customHeight="false" outlineLevel="0" collapsed="false">
      <c r="A12" s="4" t="s">
        <v>380</v>
      </c>
      <c r="H12" s="45" t="n">
        <v>5000</v>
      </c>
      <c r="J12" s="2" t="s">
        <v>381</v>
      </c>
    </row>
    <row r="13" customFormat="false" ht="15" hidden="false" customHeight="false" outlineLevel="0" collapsed="false">
      <c r="A13" s="4" t="s">
        <v>382</v>
      </c>
      <c r="H13" s="46" t="n">
        <f aca="false">H12*6</f>
        <v>30000</v>
      </c>
      <c r="I13" s="47" t="n">
        <f aca="false">H13*總覽!$B$5</f>
        <v>6300</v>
      </c>
    </row>
    <row r="14" customFormat="false" ht="15" hidden="false" customHeight="false" outlineLevel="0" collapsed="false">
      <c r="A14" s="3" t="s">
        <v>383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384</v>
      </c>
      <c r="B1" s="8" t="s">
        <v>385</v>
      </c>
      <c r="C1" s="8" t="s">
        <v>386</v>
      </c>
      <c r="D1" s="8" t="s">
        <v>107</v>
      </c>
    </row>
    <row r="2" customFormat="false" ht="15" hidden="false" customHeight="false" outlineLevel="0" collapsed="false">
      <c r="A2" s="16" t="s">
        <v>387</v>
      </c>
      <c r="B2" s="20" t="s">
        <v>388</v>
      </c>
      <c r="C2" s="48" t="s">
        <v>389</v>
      </c>
      <c r="D2" s="16" t="s">
        <v>390</v>
      </c>
    </row>
    <row r="3" customFormat="false" ht="15" hidden="false" customHeight="false" outlineLevel="0" collapsed="false">
      <c r="A3" s="16" t="s">
        <v>391</v>
      </c>
      <c r="B3" s="20" t="s">
        <v>388</v>
      </c>
      <c r="C3" s="48" t="s">
        <v>389</v>
      </c>
      <c r="D3" s="16" t="s">
        <v>392</v>
      </c>
    </row>
    <row r="4" customFormat="false" ht="15" hidden="false" customHeight="false" outlineLevel="0" collapsed="false">
      <c r="A4" s="16" t="s">
        <v>393</v>
      </c>
      <c r="B4" s="20" t="s">
        <v>388</v>
      </c>
      <c r="C4" s="48" t="s">
        <v>389</v>
      </c>
      <c r="D4" s="16" t="s">
        <v>394</v>
      </c>
    </row>
    <row r="5" customFormat="false" ht="15" hidden="false" customHeight="false" outlineLevel="0" collapsed="false">
      <c r="A5" s="16" t="s">
        <v>395</v>
      </c>
      <c r="B5" s="20" t="s">
        <v>396</v>
      </c>
      <c r="C5" s="48" t="s">
        <v>389</v>
      </c>
      <c r="D5" s="16" t="s">
        <v>397</v>
      </c>
    </row>
    <row r="6" customFormat="false" ht="15" hidden="false" customHeight="false" outlineLevel="0" collapsed="false">
      <c r="A6" s="16" t="s">
        <v>398</v>
      </c>
      <c r="B6" s="20" t="s">
        <v>399</v>
      </c>
      <c r="C6" s="48" t="s">
        <v>389</v>
      </c>
      <c r="D6" s="16" t="s">
        <v>400</v>
      </c>
    </row>
    <row r="7" customFormat="false" ht="15" hidden="false" customHeight="false" outlineLevel="0" collapsed="false">
      <c r="A7" s="16" t="s">
        <v>401</v>
      </c>
      <c r="B7" s="20" t="s">
        <v>402</v>
      </c>
      <c r="C7" s="48" t="s">
        <v>389</v>
      </c>
      <c r="D7" s="20" t="s">
        <v>403</v>
      </c>
    </row>
    <row r="8" customFormat="false" ht="15" hidden="false" customHeight="false" outlineLevel="0" collapsed="false">
      <c r="A8" s="16" t="s">
        <v>404</v>
      </c>
      <c r="B8" s="16" t="s">
        <v>405</v>
      </c>
      <c r="C8" s="48" t="s">
        <v>389</v>
      </c>
      <c r="D8" s="16" t="s">
        <v>406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407</v>
      </c>
      <c r="B1" s="8" t="s">
        <v>408</v>
      </c>
    </row>
    <row r="2" customFormat="false" ht="14.15" hidden="false" customHeight="false" outlineLevel="0" collapsed="false">
      <c r="A2" s="4" t="s">
        <v>409</v>
      </c>
      <c r="B2" s="49" t="s">
        <v>410</v>
      </c>
    </row>
    <row r="3" customFormat="false" ht="14.15" hidden="false" customHeight="false" outlineLevel="0" collapsed="false">
      <c r="A3" s="4" t="s">
        <v>411</v>
      </c>
      <c r="B3" s="49" t="s">
        <v>412</v>
      </c>
    </row>
    <row r="4" customFormat="false" ht="14.15" hidden="false" customHeight="false" outlineLevel="0" collapsed="false">
      <c r="A4" s="50" t="s">
        <v>413</v>
      </c>
      <c r="B4" s="49" t="s">
        <v>414</v>
      </c>
    </row>
    <row r="5" customFormat="false" ht="14.15" hidden="false" customHeight="false" outlineLevel="0" collapsed="false">
      <c r="A5" s="50" t="s">
        <v>415</v>
      </c>
      <c r="B5" s="49" t="s">
        <v>416</v>
      </c>
    </row>
    <row r="6" customFormat="false" ht="14.15" hidden="false" customHeight="false" outlineLevel="0" collapsed="false">
      <c r="A6" s="50" t="s">
        <v>417</v>
      </c>
      <c r="B6" s="49" t="s">
        <v>418</v>
      </c>
    </row>
    <row r="7" customFormat="false" ht="14.15" hidden="false" customHeight="false" outlineLevel="0" collapsed="false">
      <c r="A7" s="50" t="s">
        <v>419</v>
      </c>
      <c r="B7" s="49" t="s">
        <v>420</v>
      </c>
    </row>
    <row r="8" customFormat="false" ht="14.15" hidden="false" customHeight="false" outlineLevel="0" collapsed="false">
      <c r="A8" s="50" t="s">
        <v>421</v>
      </c>
      <c r="B8" s="49" t="s">
        <v>422</v>
      </c>
    </row>
    <row r="9" customFormat="false" ht="15" hidden="false" customHeight="false" outlineLevel="0" collapsed="false">
      <c r="A9" s="4" t="s">
        <v>423</v>
      </c>
      <c r="B9" s="49" t="s">
        <v>424</v>
      </c>
    </row>
    <row r="10" customFormat="false" ht="14.15" hidden="false" customHeight="false" outlineLevel="0" collapsed="false">
      <c r="A10" s="50" t="s">
        <v>425</v>
      </c>
      <c r="B10" s="49" t="s">
        <v>426</v>
      </c>
    </row>
    <row r="11" customFormat="false" ht="14.15" hidden="false" customHeight="false" outlineLevel="0" collapsed="false">
      <c r="A11" s="50" t="s">
        <v>427</v>
      </c>
      <c r="B11" s="49" t="s">
        <v>428</v>
      </c>
    </row>
    <row r="12" customFormat="false" ht="15" hidden="false" customHeight="false" outlineLevel="0" collapsed="false">
      <c r="A12" s="4" t="s">
        <v>429</v>
      </c>
      <c r="B12" s="49" t="s">
        <v>430</v>
      </c>
    </row>
    <row r="13" customFormat="false" ht="15" hidden="false" customHeight="false" outlineLevel="0" collapsed="false">
      <c r="A13" s="4" t="s">
        <v>431</v>
      </c>
      <c r="B13" s="49" t="s">
        <v>432</v>
      </c>
    </row>
    <row r="14" customFormat="false" ht="15" hidden="false" customHeight="false" outlineLevel="0" collapsed="false">
      <c r="A14" s="4" t="s">
        <v>433</v>
      </c>
      <c r="B14" s="49" t="s">
        <v>434</v>
      </c>
    </row>
    <row r="15" customFormat="false" ht="15" hidden="false" customHeight="false" outlineLevel="0" collapsed="false">
      <c r="A15" s="4" t="s">
        <v>435</v>
      </c>
      <c r="B15" s="49" t="s">
        <v>436</v>
      </c>
    </row>
    <row r="16" customFormat="false" ht="15" hidden="false" customHeight="false" outlineLevel="0" collapsed="false">
      <c r="A16" s="4" t="s">
        <v>437</v>
      </c>
      <c r="B16" s="49" t="s">
        <v>438</v>
      </c>
    </row>
    <row r="17" customFormat="false" ht="14.15" hidden="false" customHeight="false" outlineLevel="0" collapsed="false">
      <c r="A17" s="4" t="s">
        <v>439</v>
      </c>
      <c r="B17" s="49" t="s">
        <v>440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2026-10-09T12:20:46Z</dcterms:created>
  <dc:creator>openpyxl</dc:creator>
  <dc:description/>
  <dc:language>en-US</dc:language>
  <cp:lastModifiedBy/>
  <dcterms:modified xsi:type="dcterms:W3CDTF">2026-10-09T12:20:46Z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