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新方案 10-10" sheetId="3" state="visible" r:id="rId5"/>
    <sheet name="仙台進出 10-10" sheetId="4" state="visible" r:id="rId6"/>
    <sheet name="非仙台回程 10-10" sheetId="5" state="visible" r:id="rId7"/>
    <sheet name="每日行程" sheetId="6" state="visible" r:id="rId8"/>
    <sheet name="機票價格" sheetId="7" state="visible" r:id="rId9"/>
    <sheet name="方案比較" sheetId="8" state="visible" r:id="rId10"/>
    <sheet name="行程預算" sheetId="9" state="visible" r:id="rId11"/>
    <sheet name="待辦清單" sheetId="10" state="visible" r:id="rId12"/>
    <sheet name="資料來源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<sst xmlns="http://schemas.openxmlformats.org/spreadsheetml/2006/main" count="1037" uniqueCount="608">
  <si>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</si>
  <si>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</si>
  <si>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</si>
  <si>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</si>
  <si>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</si>
  <si>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</si>
  <si>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</si>
  <si>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</si>
  <si>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</si>
  <si>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</si>
  <si>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</si>
  <si>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</si>
  <si>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</si>
  <si>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</si>
  <si>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</si>
  <si>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</si>
  <si>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</si>
  <si>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</si>
  <si>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</si>
  <si>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</si>
  <si>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</si>
  <si>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</si>
  <si>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</si>
  <si>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</si>
  <si>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</si>
  <si>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</si>
  <si>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</si>
  <si>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</si>
  <si>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</si>
  <si>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</si>
  <si>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</si>
  <si>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</si>
  <si>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</si>
  <si>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</si>
  <si>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</si>
  <si>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</si>
  <si>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</si>
  <si>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</si>
  <si>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</si>
  <si>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</si>
  <si>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</si>
  <si>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</si>
  <si>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</si>
  <si>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</si>
  <si>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</si>
  <si>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</si>
  <si>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</si>
  <si>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</si>
  <si>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</si>
  <si>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</si>
  <si>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</si>
  <si>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</si>
  <si>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</si>
  <si>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</si>
  <si>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</si>
  <si>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</si>
  <si>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</si>
  <si>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</si>
  <si>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</si>
  <si>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</si>
  <si>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</si>
  <si>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</si>
  <si>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</si>
  <si>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</si>
  <si>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</si>
  <si>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</si>
  <si>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</si>
  <si>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</si>
  <si>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</si>
  <si>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</si>
  <si>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</si>
  <si>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</si>
  <si>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</si>
  <si>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</si>
  <si>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</si>
  <si>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</si>
  <si>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</si>
  <si>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</si>
  <si>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</si>
  <si>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</si>
  <si>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</si>
  <si>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</si>
  <si>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</si>
  <si>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</si>
  <si>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</si>
  <si>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</si>
  <si>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</si>
  <si>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</si>
  <si>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</si>
  <si>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</si>
  <si>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</si>
  <si>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</si>
  <si>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</si>
  <si>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</si>
  <si>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</si>
  <si>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</si>
  <si>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</si>
  <si>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</si>
  <si>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</si>
  <si>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</si>
  <si>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</si>
  <si>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</si>
  <si>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不經仙台／不從仙台回的方案（</t>
    </r>
    <r>
      <rPr>
        <b val="true"/>
        <sz val="13"/>
        <color rgb="FF000000"/>
        <rFont val="Arial"/>
        <family val="0"/>
        <charset val="1"/>
      </rPr>
      <t xml:space="preserve">Google Flights 2026/10/10 </t>
    </r>
    <r>
      <rPr>
        <b val="true"/>
        <sz val="13"/>
        <color rgb="FF000000"/>
        <rFont val="WenQuanYi Zen Hei"/>
        <family val="2"/>
      </rPr>
      <t xml:space="preserve">查到可購買的經濟艙，每人單程含稅，新台幣）</t>
    </r>
  </si>
  <si>
    <r>
      <rPr>
        <sz val="10"/>
        <color rgb="FF5F7285"/>
        <rFont val="WenQuanYi Zen Hei"/>
        <family val="2"/>
      </rPr>
      <t xml:space="preserve">價格隨時會變；廉航（酷航、虎航、泰國獅航、捷星、樂桃）不含托運行李。日圓換算引用「總覽」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的匯率。</t>
    </r>
  </si>
  <si>
    <t xml:space="preserve">請假</t>
  </si>
  <si>
    <t xml:space="preserve">去程</t>
  </si>
  <si>
    <t xml:space="preserve">去程票價</t>
  </si>
  <si>
    <t xml:space="preserve">回程</t>
  </si>
  <si>
    <t xml:space="preserve">回程票價</t>
  </si>
  <si>
    <t xml:space="preserve">行李加購（估）</t>
  </si>
  <si>
    <t xml:space="preserve">陸路交通（日圓）</t>
  </si>
  <si>
    <t xml:space="preserve">合計（新台幣）</t>
  </si>
  <si>
    <t xml:space="preserve">評語</t>
  </si>
  <si>
    <t xml:space="preserve">① 東京進出（推薦・最便宜）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</si>
  <si>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酷航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10:55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</si>
  <si>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泰國獅航 </t>
    </r>
    <r>
      <rPr>
        <sz val="10"/>
        <color rgb="FF000000"/>
        <rFont val="Arial"/>
        <family val="0"/>
        <charset val="1"/>
      </rPr>
      <t xml:space="preserve">18:15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</si>
  <si>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WenQuanYi Zen Hei"/>
        <family val="2"/>
      </rPr>
      <t xml:space="preserve">早去晚回又最便宜；</t>
    </r>
    <r>
      <rPr>
        <sz val="10"/>
        <color rgb="FF000000"/>
        <rFont val="Arial"/>
        <family val="0"/>
        <charset val="1"/>
      </rPr>
      <t xml:space="preserve">21:10 </t>
    </r>
    <r>
      <rPr>
        <sz val="10"/>
        <color rgb="FF000000"/>
        <rFont val="WenQuanYi Zen Hei"/>
        <family val="2"/>
      </rPr>
      <t xml:space="preserve">落地可搭捷運回家。備選去程：虎航 </t>
    </r>
    <r>
      <rPr>
        <sz val="10"/>
        <color rgb="FF000000"/>
        <rFont val="Arial"/>
        <family val="0"/>
        <charset val="1"/>
      </rPr>
      <t xml:space="preserve">06:10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10,699</t>
    </r>
    <r>
      <rPr>
        <sz val="10"/>
        <color rgb="FF000000"/>
        <rFont val="WenQuanYi Zen Hei"/>
        <family val="2"/>
      </rPr>
      <t xml:space="preserve">）；備選回程：酷航 </t>
    </r>
    <r>
      <rPr>
        <sz val="10"/>
        <color rgb="FF000000"/>
        <rFont val="Arial"/>
        <family val="0"/>
        <charset val="1"/>
      </rPr>
      <t xml:space="preserve">19:45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10,770</t>
    </r>
    <r>
      <rPr>
        <sz val="10"/>
        <color rgb="FF000000"/>
        <rFont val="WenQuanYi Zen Hei"/>
        <family val="2"/>
      </rPr>
      <t xml:space="preserve">）</t>
    </r>
  </si>
  <si>
    <t xml:space="preserve">② 東京進出（同樣日期，含行李的航空）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</si>
  <si>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08:25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12:35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</si>
  <si>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星宇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23:20</t>
    </r>
  </si>
  <si>
    <t xml:space="preserve">不用另買行李、座位比較舒適；回程落地較晚</t>
  </si>
  <si>
    <t xml:space="preserve">③ 仙台進、東京出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</si>
  <si>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16:00</t>
    </r>
  </si>
  <si>
    <r>
      <rPr>
        <sz val="10"/>
        <color rgb="FF000000"/>
        <rFont val="WenQuanYi Zen Hei"/>
        <family val="2"/>
      </rPr>
      <t xml:space="preserve">第一天可以逛仙台；去程含行李。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從大石田直達東京</t>
    </r>
  </si>
  <si>
    <t xml:space="preserve">④ 松山進出（離家最近）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</si>
  <si>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07:15 </t>
    </r>
    <r>
      <rPr>
        <sz val="10"/>
        <color rgb="FF000000"/>
        <rFont val="WenQuanYi Zen Hei"/>
        <family val="2"/>
      </rPr>
      <t xml:space="preserve">松山→羽田 </t>
    </r>
    <r>
      <rPr>
        <sz val="10"/>
        <color rgb="FF000000"/>
        <rFont val="Arial"/>
        <family val="0"/>
        <charset val="1"/>
      </rPr>
      <t xml:space="preserve">11:00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</si>
  <si>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長榮 </t>
    </r>
    <r>
      <rPr>
        <sz val="10"/>
        <color rgb="FF000000"/>
        <rFont val="Arial"/>
        <family val="0"/>
        <charset val="1"/>
      </rPr>
      <t xml:space="preserve">12:15 </t>
    </r>
    <r>
      <rPr>
        <sz val="10"/>
        <color rgb="FF000000"/>
        <rFont val="WenQuanYi Zen Hei"/>
        <family val="2"/>
      </rPr>
      <t xml:space="preserve">羽田→松山 </t>
    </r>
    <r>
      <rPr>
        <sz val="10"/>
        <color rgb="FF000000"/>
        <rFont val="Arial"/>
        <family val="0"/>
        <charset val="1"/>
      </rPr>
      <t xml:space="preserve">15:05</t>
    </r>
  </si>
  <si>
    <t xml:space="preserve">交通最方便，但回程是中午，不算晚回</t>
  </si>
  <si>
    <t xml:space="preserve">⑤ 秋田進、新潟出（東北其他機場）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</si>
  <si>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08:30 </t>
    </r>
    <r>
      <rPr>
        <sz val="10"/>
        <color rgb="FF000000"/>
        <rFont val="WenQuanYi Zen Hei"/>
        <family val="2"/>
      </rPr>
      <t xml:space="preserve">桃園→秋田 </t>
    </r>
    <r>
      <rPr>
        <sz val="10"/>
        <color rgb="FF000000"/>
        <rFont val="Arial"/>
        <family val="0"/>
        <charset val="1"/>
      </rPr>
      <t xml:space="preserve">12:40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</si>
  <si>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</si>
  <si>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秋田只有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有飛、到銀山要 </t>
    </r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小時；只能玩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到 </t>
    </r>
    <r>
      <rPr>
        <sz val="10"/>
        <color rgb="FF000000"/>
        <rFont val="Arial"/>
        <family val="0"/>
        <charset val="1"/>
      </rPr>
      <t xml:space="preserve">2/1</t>
    </r>
    <r>
      <rPr>
        <sz val="10"/>
        <color rgb="FF000000"/>
        <rFont val="WenQuanYi Zen Hei"/>
        <family val="2"/>
      </rPr>
      <t xml:space="preserve">，不推薦</t>
    </r>
  </si>
  <si>
    <r>
      <rPr>
        <sz val="10"/>
        <color rgb="FF5F7285"/>
        <rFont val="WenQuanYi Zen Hei"/>
        <family val="2"/>
      </rPr>
      <t xml:space="preserve">陸路交通：新幹線 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、大石田→東京 </t>
    </r>
    <r>
      <rPr>
        <sz val="10"/>
        <color rgb="FF5F7285"/>
        <rFont val="Arial"/>
        <family val="0"/>
        <charset val="1"/>
      </rPr>
      <t xml:space="preserve">¥12,780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2026/3 </t>
    </r>
    <r>
      <rPr>
        <sz val="10"/>
        <color rgb="FF5F7285"/>
        <rFont val="WenQuanYi Zen Hei"/>
        <family val="2"/>
      </rPr>
      <t xml:space="preserve">調價後指定席）；成田⇄東京 </t>
    </r>
    <r>
      <rPr>
        <sz val="10"/>
        <color rgb="FF5F7285"/>
        <rFont val="Arial"/>
        <family val="0"/>
        <charset val="1"/>
      </rPr>
      <t xml:space="preserve">Skyliner</t>
    </r>
    <r>
      <rPr>
        <sz val="10"/>
        <color rgb="FF5F7285"/>
        <rFont val="WenQuanYi Zen Hei"/>
        <family val="2"/>
      </rPr>
      <t xml:space="preserve">／</t>
    </r>
    <r>
      <rPr>
        <sz val="10"/>
        <color rgb="FF5F7285"/>
        <rFont val="Arial"/>
        <family val="0"/>
        <charset val="1"/>
      </rPr>
      <t xml:space="preserve">N'EX </t>
    </r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¥2,600</t>
    </r>
    <r>
      <rPr>
        <sz val="10"/>
        <color rgb="FF5F7285"/>
        <rFont val="WenQuanYi Zen Hei"/>
        <family val="2"/>
      </rPr>
      <t xml:space="preserve">；松山方案用羽田京急／單軌約 </t>
    </r>
    <r>
      <rPr>
        <sz val="10"/>
        <color rgb="FF5F7285"/>
        <rFont val="Arial"/>
        <family val="0"/>
        <charset val="1"/>
      </rPr>
      <t xml:space="preserve">¥600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不划算。</t>
    </r>
  </si>
  <si>
    <r>
      <rPr>
        <sz val="10"/>
        <color rgb="FF5F7285"/>
        <rFont val="WenQuanYi Zen Hei"/>
        <family val="2"/>
      </rPr>
      <t xml:space="preserve">東北其他機場：福島、山形、庄內沒有台北直飛；花卷（虎航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1/30</t>
    </r>
    <r>
      <rPr>
        <sz val="10"/>
        <color rgb="FF5F7285"/>
        <rFont val="WenQuanYi Zen Hei"/>
        <family val="2"/>
      </rPr>
      <t xml:space="preserve">）、青森（長榮）有直飛，但到銀山溫泉都要 </t>
    </r>
    <r>
      <rPr>
        <sz val="10"/>
        <color rgb="FF5F7285"/>
        <rFont val="Arial"/>
        <family val="0"/>
        <charset val="1"/>
      </rPr>
      <t xml:space="preserve">4.5 </t>
    </r>
    <r>
      <rPr>
        <sz val="10"/>
        <color rgb="FF5F7285"/>
        <rFont val="WenQuanYi Zen Hei"/>
        <family val="2"/>
      </rPr>
      <t xml:space="preserve">小時以上。</t>
    </r>
  </si>
  <si>
    <r>
      <rPr>
        <b val="true"/>
        <sz val="12"/>
        <color rgb="FF000000"/>
        <rFont val="WenQuanYi Zen Hei"/>
        <family val="2"/>
      </rPr>
      <t xml:space="preserve">方案 ① 東京進出：每日行程（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一，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夜）</t>
    </r>
  </si>
  <si>
    <t xml:space="preserve">時間</t>
  </si>
  <si>
    <t xml:space="preserve">行程</t>
  </si>
  <si>
    <t xml:space="preserve">交通</t>
  </si>
  <si>
    <t xml:space="preserve">住宿／備註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</si>
  <si>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</si>
  <si>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04:10</t>
  </si>
  <si>
    <t xml:space="preserve">從淡水搭計程車或前一晚住機場附近</t>
  </si>
  <si>
    <r>
      <rPr>
        <sz val="10"/>
        <color rgb="FF000000"/>
        <rFont val="WenQuanYi Zen Hei"/>
        <family val="2"/>
      </rPr>
      <t xml:space="preserve">首班捷運趕不上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的班機</t>
    </r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</si>
  <si>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 06:50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</t>
    </r>
  </si>
  <si>
    <t xml:space="preserve">10:55</t>
  </si>
  <si>
    <t xml:space="preserve">抵達成田 → 東京站</t>
  </si>
  <si>
    <r>
      <rPr>
        <sz val="10"/>
        <color rgb="FF000000"/>
        <rFont val="WenQuanYi Zen Hei"/>
        <family val="2"/>
      </rPr>
      <t xml:space="preserve">成田特快 </t>
    </r>
    <r>
      <rPr>
        <sz val="10"/>
        <color rgb="FF000000"/>
        <rFont val="Arial"/>
        <family val="0"/>
        <charset val="1"/>
      </rPr>
      <t xml:space="preserve">N'EX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¥3,100</t>
    </r>
  </si>
  <si>
    <t xml:space="preserve">13:00</t>
  </si>
  <si>
    <t xml:space="preserve">東京 → 山形</t>
  </si>
  <si>
    <r>
      <rPr>
        <sz val="10"/>
        <color rgb="FF000000"/>
        <rFont val="WenQuanYi Zen Hei"/>
        <family val="2"/>
      </rPr>
      <t xml:space="preserve">山形新幹線翼號約 </t>
    </r>
    <r>
      <rPr>
        <sz val="10"/>
        <color rgb="FF000000"/>
        <rFont val="Arial"/>
        <family val="0"/>
        <charset val="1"/>
      </rPr>
      <t xml:space="preserve">2.5–3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¥11,670</t>
    </r>
  </si>
  <si>
    <t xml:space="preserve">16:00</t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</si>
  <si>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</si>
  <si>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</si>
  <si>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住藏王溫泉；有點燈的日子 </t>
    </r>
    <r>
      <rPr>
        <sz val="10"/>
        <color rgb="FF000000"/>
        <rFont val="Arial"/>
        <family val="0"/>
        <charset val="1"/>
      </rPr>
      <t xml:space="preserve">17:00–21:00 </t>
    </r>
    <r>
      <rPr>
        <sz val="10"/>
        <color rgb="FF000000"/>
        <rFont val="WenQuanYi Zen Hei"/>
        <family val="2"/>
      </rPr>
      <t xml:space="preserve">可以看樹冰夜景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</si>
  <si>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</si>
  <si>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08:30</t>
  </si>
  <si>
    <t xml:space="preserve">藏王纜車上山看樹冰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</si>
  <si>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</si>
  <si>
    <t xml:space="preserve">早上風比較小</t>
  </si>
  <si>
    <t xml:space="preserve">藏王 → 山形 → 山寺</t>
  </si>
  <si>
    <r>
      <rPr>
        <sz val="10"/>
        <color rgb="FF000000"/>
        <rFont val="WenQuanYi Zen Hei"/>
        <family val="2"/>
      </rPr>
      <t xml:space="preserve">巴士＋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</si>
  <si>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階雪中石梯，要防滑鞋</t>
    </r>
  </si>
  <si>
    <t xml:space="preserve">17:30</t>
  </si>
  <si>
    <t xml:space="preserve">回山形，晚餐吃米澤牛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</si>
  <si>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</si>
  <si>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</si>
  <si>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11:00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</si>
  <si>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</si>
  <si>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奧羽本線或新幹線</t>
    </r>
  </si>
  <si>
    <t xml:space="preserve">13:40</t>
  </si>
  <si>
    <t xml:space="preserve">大石田 → 銀山溫泉</t>
  </si>
  <si>
    <t xml:space="preserve">旅館接送或はながさ巴士（只收現金）</t>
  </si>
  <si>
    <r>
      <rPr>
        <sz val="10"/>
        <color rgb="FF000000"/>
        <rFont val="WenQuanYi Zen Hei"/>
        <family val="2"/>
      </rPr>
      <t xml:space="preserve">♨ 住銀山溫泉（已訂）；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</t>
    </r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</si>
  <si>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</si>
  <si>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</si>
  <si>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</si>
  <si>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人最少的時段</t>
  </si>
  <si>
    <t xml:space="preserve">銀山溫泉 → 大石田 → 東京</t>
  </si>
  <si>
    <r>
      <rPr>
        <sz val="10"/>
        <color rgb="FF000000"/>
        <rFont val="WenQuanYi Zen Hei"/>
        <family val="2"/>
      </rPr>
      <t xml:space="preserve">新幹線翼號約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¥12,780</t>
    </r>
  </si>
  <si>
    <r>
      <rPr>
        <sz val="10"/>
        <color rgb="FF000000"/>
        <rFont val="WenQuanYi Zen Hei"/>
        <family val="2"/>
      </rPr>
      <t xml:space="preserve">大件行李可以從旅館用宅急便寄到東京飯店（約 </t>
    </r>
    <r>
      <rPr>
        <sz val="10"/>
        <color rgb="FF000000"/>
        <rFont val="Arial"/>
        <family val="0"/>
        <charset val="1"/>
      </rPr>
      <t xml:space="preserve">¥2,000–3,700</t>
    </r>
    <r>
      <rPr>
        <sz val="10"/>
        <color rgb="FF000000"/>
        <rFont val="WenQuanYi Zen Hei"/>
        <family val="2"/>
      </rPr>
      <t xml:space="preserve">）</t>
    </r>
  </si>
  <si>
    <t xml:space="preserve">15:30</t>
  </si>
  <si>
    <t xml:space="preserve">抵達東京</t>
  </si>
  <si>
    <r>
      <rPr>
        <sz val="10"/>
        <color rgb="FF000000"/>
        <rFont val="WenQuanYi Zen Hei"/>
        <family val="2"/>
      </rPr>
      <t xml:space="preserve">住上野／日暮里一帶，回程搭 </t>
    </r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最方便</t>
    </r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</si>
  <si>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</si>
  <si>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全天</t>
  </si>
  <si>
    <t xml:space="preserve">東京自由行</t>
  </si>
  <si>
    <t xml:space="preserve">淺草、晴空塔、上野、銀座等</t>
  </si>
  <si>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</t>
    </r>
  </si>
  <si>
    <t xml:space="preserve">上午</t>
  </si>
  <si>
    <t xml:space="preserve">東京半天、買伴手禮</t>
  </si>
  <si>
    <t xml:space="preserve">上野／日暮里 → 成田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</si>
  <si>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分鐘，約 </t>
    </r>
    <r>
      <rPr>
        <sz val="10"/>
        <color rgb="FF000000"/>
        <rFont val="Arial"/>
        <family val="0"/>
        <charset val="1"/>
      </rPr>
      <t xml:space="preserve">¥2,500</t>
    </r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</si>
  <si>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到機場報到</t>
    </r>
  </si>
  <si>
    <t xml:space="preserve">18:15</t>
  </si>
  <si>
    <r>
      <rPr>
        <sz val="10"/>
        <color rgb="FF000000"/>
        <rFont val="WenQuanYi Zen Hei"/>
        <family val="2"/>
      </rPr>
      <t xml:space="preserve">泰國獅航 </t>
    </r>
    <r>
      <rPr>
        <sz val="10"/>
        <color rgb="FF000000"/>
        <rFont val="Arial"/>
        <family val="0"/>
        <charset val="1"/>
      </rPr>
      <t xml:space="preserve">SL </t>
    </r>
    <r>
      <rPr>
        <sz val="10"/>
        <color rgb="FF000000"/>
        <rFont val="WenQuanYi Zen Hei"/>
        <family val="2"/>
      </rPr>
      <t xml:space="preserve">成田 → 桃園 </t>
    </r>
    <r>
      <rPr>
        <sz val="10"/>
        <color rgb="FF000000"/>
        <rFont val="Arial"/>
        <family val="0"/>
        <charset val="1"/>
      </rPr>
      <t xml:space="preserve">21:10</t>
    </r>
  </si>
  <si>
    <t xml:space="preserve">托運行李要在訂票時一起買</t>
  </si>
  <si>
    <r>
      <rPr>
        <sz val="10"/>
        <color rgb="FF5F7285"/>
        <rFont val="WenQuanYi Zen Hei"/>
        <family val="2"/>
      </rPr>
      <t xml:space="preserve">方案 ③ 仙台進、東京出：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星宇 </t>
    </r>
    <r>
      <rPr>
        <sz val="10"/>
        <color rgb="FF5F7285"/>
        <rFont val="Arial"/>
        <family val="0"/>
        <charset val="1"/>
      </rPr>
      <t xml:space="preserve">11:50 → 16:00 </t>
    </r>
    <r>
      <rPr>
        <sz val="10"/>
        <color rgb="FF5F7285"/>
        <rFont val="WenQuanYi Zen Hei"/>
        <family val="2"/>
      </rPr>
      <t xml:space="preserve">到仙台，住仙台；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仙台 → 山寺 → 藏王；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早上看樹冰 → 銀山溫泉；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起和方案 ① 一樣。</t>
    </r>
  </si>
  <si>
    <r>
      <rPr>
        <b val="true"/>
        <sz val="13"/>
        <color rgb="FF000000"/>
        <rFont val="WenQuanYi Zen Hei"/>
        <family val="2"/>
      </rPr>
      <t xml:space="preserve">仙台進出：目前還買得到的直飛（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，每人單程含稅，新台幣）</t>
    </r>
  </si>
  <si>
    <r>
      <rPr>
        <sz val="10"/>
        <color rgb="FF5F7285"/>
        <rFont val="WenQuanYi Zen Hei"/>
        <family val="2"/>
      </rPr>
      <t xml:space="preserve">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1/30–2/3</t>
    </r>
    <r>
      <rPr>
        <sz val="10"/>
        <color rgb="FF5F7285"/>
        <rFont val="WenQuanYi Zen Hei"/>
        <family val="2"/>
      </rPr>
      <t xml:space="preserve">。紅底＝只剩商務艙或已售完；沒列出的日期＝當天沒有直飛。航空公司不公開剩餘座位數；星宇官網 </t>
    </r>
    <r>
      <rPr>
        <sz val="10"/>
        <color rgb="FF5F7285"/>
        <rFont val="Arial"/>
        <family val="0"/>
        <charset val="1"/>
      </rPr>
      <t xml:space="preserve">1/28–2/3 </t>
    </r>
    <r>
      <rPr>
        <sz val="10"/>
        <color rgb="FF5F7285"/>
        <rFont val="WenQuanYi Zen Hei"/>
        <family val="2"/>
      </rPr>
      <t xml:space="preserve">仙台回程經濟艙全部售完。虎航不含托運行李（</t>
    </r>
    <r>
      <rPr>
        <sz val="10"/>
        <color rgb="FF5F7285"/>
        <rFont val="Arial"/>
        <family val="0"/>
        <charset val="1"/>
      </rPr>
      <t xml:space="preserve">20kg </t>
    </r>
    <r>
      <rPr>
        <sz val="10"/>
        <color rgb="FF5F7285"/>
        <rFont val="WenQuanYi Zen Hei"/>
        <family val="2"/>
      </rPr>
      <t xml:space="preserve">訂票時加購 </t>
    </r>
    <r>
      <rPr>
        <sz val="10"/>
        <color rgb="FF5F7285"/>
        <rFont val="Arial"/>
        <family val="0"/>
        <charset val="1"/>
      </rPr>
      <t xml:space="preserve">NT$950</t>
    </r>
    <r>
      <rPr>
        <sz val="10"/>
        <color rgb="FF5F7285"/>
        <rFont val="WenQuanYi Zen Hei"/>
        <family val="2"/>
      </rPr>
      <t xml:space="preserve">）。</t>
    </r>
  </si>
  <si>
    <t xml:space="preserve">方向</t>
  </si>
  <si>
    <t xml:space="preserve">備註</t>
  </si>
  <si>
    <r>
      <rPr>
        <sz val="10"/>
        <color rgb="FF000000"/>
        <rFont val="Arial"/>
        <family val="0"/>
        <charset val="1"/>
      </rPr>
      <t xml:space="preserve">1/22 </t>
    </r>
    <r>
      <rPr>
        <sz val="10"/>
        <color rgb="FF000000"/>
        <rFont val="WenQuanYi Zen Hei"/>
        <family val="2"/>
      </rPr>
      <t xml:space="preserve">五</t>
    </r>
  </si>
  <si>
    <t xml:space="preserve">經濟艙售完</t>
  </si>
  <si>
    <r>
      <rPr>
        <sz val="10"/>
        <color rgb="FF000000"/>
        <rFont val="Arial"/>
        <family val="0"/>
        <charset val="1"/>
      </rPr>
      <t xml:space="preserve">1/23 </t>
    </r>
    <r>
      <rPr>
        <sz val="10"/>
        <color rgb="FF000000"/>
        <rFont val="WenQuanYi Zen Hei"/>
        <family val="2"/>
      </rPr>
      <t xml:space="preserve">六</t>
    </r>
  </si>
  <si>
    <r>
      <rPr>
        <sz val="10"/>
        <color rgb="FF000000"/>
        <rFont val="Arial"/>
        <family val="0"/>
        <charset val="1"/>
      </rPr>
      <t xml:space="preserve">1/24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</si>
  <si>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1/25 </t>
    </r>
    <r>
      <rPr>
        <sz val="10"/>
        <color rgb="FF000000"/>
        <rFont val="WenQuanYi Zen Hei"/>
        <family val="2"/>
      </rPr>
      <t xml:space="preserve">一</t>
    </r>
  </si>
  <si>
    <t xml:space="preserve">星宇官網：只剩「全額」票價，便宜票價已售完，快滿了</t>
  </si>
  <si>
    <t xml:space="preserve">含行李</t>
  </si>
  <si>
    <r>
      <rPr>
        <sz val="10"/>
        <color rgb="FF000000"/>
        <rFont val="WenQuanYi Zen Hei"/>
        <family val="2"/>
      </rPr>
      <t xml:space="preserve">星宇官網：超值 </t>
    </r>
    <r>
      <rPr>
        <sz val="10"/>
        <color rgb="FF000000"/>
        <rFont val="Arial"/>
        <family val="0"/>
        <charset val="1"/>
      </rPr>
      <t xml:space="preserve">15,733</t>
    </r>
    <r>
      <rPr>
        <sz val="10"/>
        <color rgb="FF000000"/>
        <rFont val="WenQuanYi Zen Hei"/>
        <family val="2"/>
      </rPr>
      <t xml:space="preserve">／基本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 </t>
    </r>
    <r>
      <rPr>
        <sz val="10"/>
        <color rgb="FF000000"/>
        <rFont val="WenQuanYi Zen Hei"/>
        <family val="2"/>
      </rPr>
      <t xml:space="preserve">三種票價都還有，座位最充足</t>
    </r>
  </si>
  <si>
    <t xml:space="preserve">含行李；最早抵達</t>
  </si>
  <si>
    <t xml:space="preserve">去程最便宜</t>
  </si>
  <si>
    <t xml:space="preserve">星宇官網：只剩「全額」票價，快滿了</t>
  </si>
  <si>
    <t xml:space="preserve">售完</t>
  </si>
  <si>
    <t xml:space="preserve">星宇官網：整班已售完（含商務艙）</t>
  </si>
  <si>
    <t xml:space="preserve">星宇官網：經濟艙已售完</t>
  </si>
  <si>
    <t xml:space="preserve">回程唯一的平價選擇；落地晚</t>
  </si>
  <si>
    <t xml:space="preserve">可行的組合（經濟艙去回）</t>
  </si>
  <si>
    <t xml:space="preserve">組合</t>
  </si>
  <si>
    <t xml:space="preserve">去程價</t>
  </si>
  <si>
    <t xml:space="preserve">回程價</t>
  </si>
  <si>
    <t xml:space="preserve">行李加購</t>
  </si>
  <si>
    <t xml:space="preserve">機票合計</t>
  </si>
  <si>
    <t xml:space="preserve">說明</t>
  </si>
  <si>
    <t xml:space="preserve">Ⓐ 虎航去＋虎航回（最便宜）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</si>
  <si>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14:35</t>
    </r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</si>
  <si>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虎航 </t>
    </r>
    <r>
      <rPr>
        <sz val="10"/>
        <color rgb="FF000000"/>
        <rFont val="Arial"/>
        <family val="0"/>
        <charset val="1"/>
      </rPr>
      <t xml:space="preserve">19:40</t>
    </r>
  </si>
  <si>
    <r>
      <rPr>
        <sz val="10"/>
        <color rgb="FF000000"/>
        <rFont val="WenQuanYi Zen Hei"/>
        <family val="2"/>
      </rPr>
      <t xml:space="preserve">最便宜；但去程下午、回程 </t>
    </r>
    <r>
      <rPr>
        <sz val="10"/>
        <color rgb="FF000000"/>
        <rFont val="Arial"/>
        <family val="0"/>
        <charset val="1"/>
      </rPr>
      <t xml:space="preserve">23:00 </t>
    </r>
    <r>
      <rPr>
        <sz val="10"/>
        <color rgb="FF000000"/>
        <rFont val="WenQuanYi Zen Hei"/>
        <family val="2"/>
      </rPr>
      <t xml:space="preserve">落地</t>
    </r>
  </si>
  <si>
    <t xml:space="preserve">Ⓑ 虎航去＋長榮回（推薦）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</si>
  <si>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長榮 </t>
    </r>
    <r>
      <rPr>
        <sz val="10"/>
        <color rgb="FF000000"/>
        <rFont val="Arial"/>
        <family val="0"/>
        <charset val="1"/>
      </rPr>
      <t xml:space="preserve">16:15</t>
    </r>
  </si>
  <si>
    <r>
      <rPr>
        <sz val="10"/>
        <color rgb="FF000000"/>
        <rFont val="WenQuanYi Zen Hei"/>
        <family val="2"/>
      </rPr>
      <t xml:space="preserve">請假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落地，可以搭捷運回家</t>
    </r>
  </si>
  <si>
    <t xml:space="preserve">Ⓒ 星宇去＋長榮回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</si>
  <si>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星宇 </t>
    </r>
    <r>
      <rPr>
        <sz val="10"/>
        <color rgb="FF000000"/>
        <rFont val="Arial"/>
        <family val="0"/>
        <charset val="1"/>
      </rPr>
      <t xml:space="preserve">11:50</t>
    </r>
  </si>
  <si>
    <t xml:space="preserve">兩段都含行李，去程比較早</t>
  </si>
  <si>
    <t xml:space="preserve">Ⓓ 星宇去＋虎航回（早去）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</si>
  <si>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</t>
    </r>
  </si>
  <si>
    <r>
      <rPr>
        <sz val="10"/>
        <color rgb="FF000000"/>
        <rFont val="WenQuanYi Zen Hei"/>
        <family val="2"/>
      </rPr>
      <t xml:space="preserve">多請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天，換到便宜的早一點出發</t>
    </r>
  </si>
  <si>
    <t xml:space="preserve">Ⓔ 長榮去＋長榮回（早去）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</si>
  <si>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10:15</t>
    </r>
  </si>
  <si>
    <r>
      <rPr>
        <sz val="10"/>
        <color rgb="FF000000"/>
        <rFont val="WenQuanYi Zen Hei"/>
        <family val="2"/>
      </rPr>
      <t xml:space="preserve">最早抵達、全程含行李，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</si>
  <si>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Ⓕ 星宇去＋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商務艙回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</si>
  <si>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 長榮商務 </t>
    </r>
    <r>
      <rPr>
        <sz val="10"/>
        <color rgb="FF000000"/>
        <rFont val="Arial"/>
        <family val="0"/>
        <charset val="1"/>
      </rPr>
      <t xml:space="preserve">16:15</t>
    </r>
  </si>
  <si>
    <t xml:space="preserve">維持原本日期，但回程只剩商務艙</t>
  </si>
  <si>
    <r>
      <rPr>
        <b val="true"/>
        <sz val="12"/>
        <color rgb="FF000000"/>
        <rFont val="WenQuanYi Zen Hei"/>
        <family val="2"/>
      </rPr>
      <t xml:space="preserve">Ⓑ 行程：</t>
    </r>
    <r>
      <rPr>
        <b val="true"/>
        <sz val="12"/>
        <color rgb="FF000000"/>
        <rFont val="Arial"/>
        <family val="0"/>
        <charset val="1"/>
      </rPr>
      <t xml:space="preserve">1/28 </t>
    </r>
    <r>
      <rPr>
        <b val="true"/>
        <sz val="12"/>
        <color rgb="FF000000"/>
        <rFont val="WenQuanYi Zen Hei"/>
        <family val="2"/>
      </rPr>
      <t xml:space="preserve">四 – </t>
    </r>
    <r>
      <rPr>
        <b val="true"/>
        <sz val="12"/>
        <color rgb="FF000000"/>
        <rFont val="Arial"/>
        <family val="0"/>
        <charset val="1"/>
      </rPr>
      <t xml:space="preserve">2/2 </t>
    </r>
    <r>
      <rPr>
        <b val="true"/>
        <sz val="12"/>
        <color rgb="FF000000"/>
        <rFont val="WenQuanYi Zen Hei"/>
        <family val="2"/>
      </rPr>
      <t xml:space="preserve">二（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夜，請假 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2/2</t>
    </r>
    <r>
      <rPr>
        <b val="true"/>
        <sz val="12"/>
        <color rgb="FF000000"/>
        <rFont val="WenQuanYi Zen Hei"/>
        <family val="2"/>
      </rPr>
      <t xml:space="preserve">）</t>
    </r>
  </si>
  <si>
    <t xml:space="preserve">住宿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</si>
  <si>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14:35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18:45 </t>
    </r>
    <r>
      <rPr>
        <sz val="10"/>
        <color rgb="FF000000"/>
        <rFont val="WenQuanYi Zen Hei"/>
        <family val="2"/>
      </rPr>
      <t xml:space="preserve">仙台 → 仙台機場線到仙台站，晚餐吃牛舌</t>
    </r>
  </si>
  <si>
    <t xml:space="preserve">仙台</t>
  </si>
  <si>
    <r>
      <rPr>
        <sz val="10"/>
        <color rgb="FF000000"/>
        <rFont val="WenQuanYi Zen Hei"/>
        <family val="2"/>
      </rPr>
      <t xml:space="preserve">早上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仙山線到山寺，爬雪中石階 → 山形 → 大石田 → 下午進銀山溫泉，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</si>
  <si>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t xml:space="preserve">♨ 銀山溫泉（已訂）</t>
  </si>
  <si>
    <t xml:space="preserve">清晨溫泉街拍照 → 大石田 → 山形 → 巴士到藏王溫泉，有點燈的話看樹冰夜景</t>
  </si>
  <si>
    <t xml:space="preserve">藏王溫泉</t>
  </si>
  <si>
    <r>
      <rPr>
        <sz val="10"/>
        <color rgb="FF000000"/>
        <rFont val="WenQuanYi Zen Hei"/>
        <family val="2"/>
      </rPr>
      <t xml:space="preserve">早上搭纜車看樹冰 → 巴士到仙台（約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小時）或在山形市區逛</t>
    </r>
  </si>
  <si>
    <t xml:space="preserve">仙台（或秋保、作並溫泉）</t>
  </si>
  <si>
    <t xml:space="preserve">松島遊覽船、瑞巖寺、烤牡蠣 → 下午回仙台逛一番町</t>
  </si>
  <si>
    <r>
      <rPr>
        <b val="true"/>
        <sz val="10"/>
        <color rgb="FF000000"/>
        <rFont val="Arial"/>
        <family val="0"/>
        <charset val="1"/>
      </rPr>
      <t xml:space="preserve">2/2 </t>
    </r>
    <r>
      <rPr>
        <b val="true"/>
        <sz val="10"/>
        <color rgb="FF000000"/>
        <rFont val="WenQuanYi Zen Hei"/>
        <family val="2"/>
      </rPr>
      <t xml:space="preserve">二</t>
    </r>
  </si>
  <si>
    <r>
      <rPr>
        <sz val="10"/>
        <color rgb="FF000000"/>
        <rFont val="WenQuanYi Zen Hei"/>
        <family val="2"/>
      </rPr>
      <t xml:space="preserve">仙台市區（仙台城跡、瑞鳳殿）→ </t>
    </r>
    <r>
      <rPr>
        <sz val="10"/>
        <color rgb="FF000000"/>
        <rFont val="Arial"/>
        <family val="0"/>
        <charset val="1"/>
      </rPr>
      <t xml:space="preserve">14:30 </t>
    </r>
    <r>
      <rPr>
        <sz val="10"/>
        <color rgb="FF000000"/>
        <rFont val="WenQuanYi Zen Hei"/>
        <family val="2"/>
      </rPr>
      <t xml:space="preserve">前往機場 → 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抵達桃園</t>
    </r>
  </si>
  <si>
    <r>
      <rPr>
        <b val="true"/>
        <sz val="13"/>
        <color rgb="FF000000"/>
        <rFont val="WenQuanYi Zen Hei"/>
        <family val="2"/>
      </rPr>
      <t xml:space="preserve">仙台進、其他東北機場回（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，每人單程經濟艙含稅，新台幣）</t>
    </r>
  </si>
  <si>
    <r>
      <rPr>
        <sz val="10"/>
        <color rgb="FF5F7285"/>
        <rFont val="WenQuanYi Zen Hei"/>
        <family val="2"/>
      </rPr>
      <t xml:space="preserve">去程皆以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（三）星宇 </t>
    </r>
    <r>
      <rPr>
        <sz val="10"/>
        <color rgb="FF5F7285"/>
        <rFont val="Arial"/>
        <family val="0"/>
        <charset val="1"/>
      </rPr>
      <t xml:space="preserve">11:50 </t>
    </r>
    <r>
      <rPr>
        <sz val="10"/>
        <color rgb="FF5F7285"/>
        <rFont val="WenQuanYi Zen Hei"/>
        <family val="2"/>
      </rPr>
      <t xml:space="preserve">桃園→仙台（</t>
    </r>
    <r>
      <rPr>
        <sz val="10"/>
        <color rgb="FF5F7285"/>
        <rFont val="Arial"/>
        <family val="0"/>
        <charset val="1"/>
      </rPr>
      <t xml:space="preserve">NT$15,733</t>
    </r>
    <r>
      <rPr>
        <sz val="10"/>
        <color rgb="FF5F7285"/>
        <rFont val="WenQuanYi Zen Hei"/>
        <family val="2"/>
      </rPr>
      <t xml:space="preserve">，含行李，目前位子最多）計算；也可以改搭長榮 </t>
    </r>
    <r>
      <rPr>
        <sz val="10"/>
        <color rgb="FF5F7285"/>
        <rFont val="Arial"/>
        <family val="0"/>
        <charset val="1"/>
      </rPr>
      <t xml:space="preserve">10:15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NT$17,781</t>
    </r>
    <r>
      <rPr>
        <sz val="10"/>
        <color rgb="FF5F7285"/>
        <rFont val="WenQuanYi Zen Hei"/>
        <family val="2"/>
      </rPr>
      <t xml:space="preserve">）。福島、山形機場 </t>
    </r>
    <r>
      <rPr>
        <sz val="10"/>
        <color rgb="FF5F7285"/>
        <rFont val="Arial"/>
        <family val="0"/>
        <charset val="1"/>
      </rPr>
      <t xml:space="preserve">1/30–2/1 </t>
    </r>
    <r>
      <rPr>
        <sz val="10"/>
        <color rgb="FF5F7285"/>
        <rFont val="WenQuanYi Zen Hei"/>
        <family val="2"/>
      </rPr>
      <t xml:space="preserve">沒有直飛。陸路交通為估計值。</t>
    </r>
  </si>
  <si>
    <t xml:space="preserve">回程航班</t>
  </si>
  <si>
    <t xml:space="preserve">陸路交通（日圓，估）</t>
  </si>
  <si>
    <t xml:space="preserve">旅遊天數</t>
  </si>
  <si>
    <r>
      <rPr>
        <sz val="10"/>
        <color rgb="FF000000"/>
        <rFont val="WenQuanYi Zen Hei"/>
        <family val="2"/>
      </rPr>
      <t xml:space="preserve">Ⓐ 秋田回（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</si>
  <si>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14:10 </t>
    </r>
    <r>
      <rPr>
        <sz val="10"/>
        <color rgb="FF000000"/>
        <rFont val="WenQuanYi Zen Hei"/>
        <family val="2"/>
      </rPr>
      <t xml:space="preserve">秋田→桃園 </t>
    </r>
    <r>
      <rPr>
        <sz val="10"/>
        <color rgb="FF000000"/>
        <rFont val="Arial"/>
        <family val="0"/>
        <charset val="1"/>
      </rPr>
      <t xml:space="preserve">17:25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</si>
  <si>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</si>
  <si>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天最省假；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從銀山溫泉到乳頭溫泉住一晚，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搭秋田新幹線到秋田再去機場。落地 </t>
    </r>
    <r>
      <rPr>
        <sz val="10"/>
        <color rgb="FF000000"/>
        <rFont val="Arial"/>
        <family val="0"/>
        <charset val="1"/>
      </rPr>
      <t xml:space="preserve">17:25</t>
    </r>
    <r>
      <rPr>
        <sz val="10"/>
        <color rgb="FF000000"/>
        <rFont val="WenQuanYi Zen Hei"/>
        <family val="2"/>
      </rPr>
      <t xml:space="preserve">，不算晚回</t>
    </r>
  </si>
  <si>
    <r>
      <rPr>
        <b val="true"/>
        <sz val="10"/>
        <color rgb="FF000000"/>
        <rFont val="WenQuanYi Zen Hei"/>
        <family val="2"/>
      </rPr>
      <t xml:space="preserve">Ⓑ 青森回（</t>
    </r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一）★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</si>
  <si>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青森→桃園 </t>
    </r>
    <r>
      <rPr>
        <sz val="10"/>
        <color rgb="FF000000"/>
        <rFont val="Arial"/>
        <family val="0"/>
        <charset val="1"/>
      </rPr>
      <t xml:space="preserve">19:00</t>
    </r>
  </si>
  <si>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</si>
  <si>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全程都是全服務航空、含行李；回程票價最便宜；多玩乳頭溫泉＋青森（酸湯溫泉／八甲田）；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落地</t>
    </r>
  </si>
  <si>
    <r>
      <rPr>
        <sz val="10"/>
        <color rgb="FF000000"/>
        <rFont val="WenQuanYi Zen Hei"/>
        <family val="2"/>
      </rPr>
      <t xml:space="preserve">Ⓒ 花卷回（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</si>
  <si>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17:50 </t>
    </r>
    <r>
      <rPr>
        <sz val="10"/>
        <color rgb="FF000000"/>
        <rFont val="WenQuanYi Zen Hei"/>
        <family val="2"/>
      </rPr>
      <t xml:space="preserve">花卷→桃園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</si>
  <si>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</si>
  <si>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行程最短；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要 </t>
    </r>
    <r>
      <rPr>
        <sz val="10"/>
        <color rgb="FF000000"/>
        <rFont val="Arial"/>
        <family val="0"/>
        <charset val="1"/>
      </rPr>
      <t xml:space="preserve">9:00 </t>
    </r>
    <r>
      <rPr>
        <sz val="10"/>
        <color rgb="FF000000"/>
        <rFont val="WenQuanYi Zen Hei"/>
        <family val="2"/>
      </rPr>
      <t xml:space="preserve">前離開銀山溫泉，車程約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小時，班次少有風險</t>
    </r>
  </si>
  <si>
    <r>
      <rPr>
        <sz val="10"/>
        <color rgb="FF000000"/>
        <rFont val="WenQuanYi Zen Hei"/>
        <family val="2"/>
      </rPr>
      <t xml:space="preserve">Ⓓ 新潟回（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</si>
  <si>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</si>
  <si>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機票最便宜，但 </t>
    </r>
    <r>
      <rPr>
        <sz val="10"/>
        <color rgb="FF000000"/>
        <rFont val="Arial"/>
        <family val="0"/>
        <charset val="1"/>
      </rPr>
      <t xml:space="preserve">22:30 </t>
    </r>
    <r>
      <rPr>
        <sz val="10"/>
        <color rgb="FF000000"/>
        <rFont val="WenQuanYi Zen Hei"/>
        <family val="2"/>
      </rPr>
      <t xml:space="preserve">才落地，羽越線冬天常因大雪誤點</t>
    </r>
  </si>
  <si>
    <r>
      <rPr>
        <sz val="10"/>
        <color rgb="FF000000"/>
        <rFont val="WenQuanYi Zen Hei"/>
        <family val="2"/>
      </rPr>
      <t xml:space="preserve">Ⓔ 青森回（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</si>
  <si>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天也能晚一點回來，但 </t>
    </r>
    <r>
      <rPr>
        <sz val="10"/>
        <color rgb="FF000000"/>
        <rFont val="Arial"/>
        <family val="0"/>
        <charset val="1"/>
      </rPr>
      <t xml:space="preserve">1/30–1/31 </t>
    </r>
    <r>
      <rPr>
        <sz val="10"/>
        <color rgb="FF000000"/>
        <rFont val="WenQuanYi Zen Hei"/>
        <family val="2"/>
      </rPr>
      <t xml:space="preserve">要長途移動</t>
    </r>
  </si>
  <si>
    <r>
      <rPr>
        <sz val="10"/>
        <color rgb="FF000000"/>
        <rFont val="WenQuanYi Zen Hei"/>
        <family val="2"/>
      </rPr>
      <t xml:space="preserve">參考：仙台回（</t>
    </r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二）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</si>
  <si>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19:30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</si>
  <si>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</si>
  <si>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仙台回程經濟艙最早只有 </t>
    </r>
    <r>
      <rPr>
        <sz val="10"/>
        <color rgb="FF000000"/>
        <rFont val="Arial"/>
        <family val="0"/>
        <charset val="1"/>
      </rPr>
      <t xml:space="preserve">2/2</t>
    </r>
  </si>
  <si>
    <r>
      <rPr>
        <b val="true"/>
        <sz val="12"/>
        <color rgb="FF000000"/>
        <rFont val="WenQuanYi Zen Hei"/>
        <family val="2"/>
      </rPr>
      <t xml:space="preserve">Ⓑ 青森回 行程：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一（請假 </t>
    </r>
    <r>
      <rPr>
        <b val="true"/>
        <sz val="12"/>
        <color rgb="FF000000"/>
        <rFont val="Arial"/>
        <family val="0"/>
        <charset val="1"/>
      </rPr>
      <t xml:space="preserve">1/27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</si>
  <si>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16:00 </t>
    </r>
    <r>
      <rPr>
        <sz val="10"/>
        <color rgb="FF000000"/>
        <rFont val="WenQuanYi Zen Hei"/>
        <family val="2"/>
      </rPr>
      <t xml:space="preserve">仙台 → 巴士或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到山形 → 巴士到藏王溫泉（約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WenQuanYi Zen Hei"/>
        <family val="2"/>
      </rPr>
      <t xml:space="preserve">小時）</t>
    </r>
  </si>
  <si>
    <t xml:space="preserve">早上搭纜車看樹冰 → 下午山寺 → 山形</t>
  </si>
  <si>
    <t xml:space="preserve">山形</t>
  </si>
  <si>
    <r>
      <rPr>
        <sz val="10"/>
        <color rgb="FF000000"/>
        <rFont val="WenQuanYi Zen Hei"/>
        <family val="2"/>
      </rPr>
      <t xml:space="preserve">山形 → 大石田 → 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</si>
  <si>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r>
      <rPr>
        <sz val="10"/>
        <color rgb="FF000000"/>
        <rFont val="WenQuanYi Zen Hei"/>
        <family val="2"/>
      </rPr>
      <t xml:space="preserve">清晨拍照 → 大石田 → 新庄 → 奧羽本線 → 大曲 → 秋田新幹線到田澤湖 → 巴士到乳頭溫泉（約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小時，中午前出發）</t>
    </r>
  </si>
  <si>
    <t xml:space="preserve">乳頭溫泉鄉（鶴之湯等）</t>
  </si>
  <si>
    <r>
      <rPr>
        <sz val="10"/>
        <color rgb="FF000000"/>
        <rFont val="WenQuanYi Zen Hei"/>
        <family val="2"/>
      </rPr>
      <t xml:space="preserve">乳頭溫泉 → 田澤湖 → 秋田新幹線到盛岡 → 隼號到新青森（約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小時）→ 青森市區（睡魔之家、</t>
    </r>
    <r>
      <rPr>
        <sz val="10"/>
        <color rgb="FF000000"/>
        <rFont val="Arial"/>
        <family val="0"/>
        <charset val="1"/>
      </rPr>
      <t xml:space="preserve">A-FACTORY</t>
    </r>
    <r>
      <rPr>
        <sz val="10"/>
        <color rgb="FF000000"/>
        <rFont val="WenQuanYi Zen Hei"/>
        <family val="2"/>
      </rPr>
      <t xml:space="preserve">、海鮮）</t>
    </r>
  </si>
  <si>
    <t xml:space="preserve">青森市（或酸湯溫泉）</t>
  </si>
  <si>
    <r>
      <rPr>
        <sz val="10"/>
        <color rgb="FF000000"/>
        <rFont val="WenQuanYi Zen Hei"/>
        <family val="2"/>
      </rPr>
      <t xml:space="preserve">上午青森魚菜中心吃自選海鮮丼 → </t>
    </r>
    <r>
      <rPr>
        <sz val="10"/>
        <color rgb="FF000000"/>
        <rFont val="Arial"/>
        <family val="0"/>
        <charset val="1"/>
      </rPr>
      <t xml:space="preserve">13:30 </t>
    </r>
    <r>
      <rPr>
        <sz val="10"/>
        <color rgb="FF000000"/>
        <rFont val="WenQuanYi Zen Hei"/>
        <family val="2"/>
      </rPr>
      <t xml:space="preserve">搭巴士到機場（約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分鐘）→ 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抵達桃園</t>
    </r>
  </si>
  <si>
    <r>
      <rPr>
        <sz val="10"/>
        <color rgb="FF5F7285"/>
        <rFont val="WenQuanYi Zen Hei"/>
        <family val="2"/>
      </rPr>
      <t xml:space="preserve">Ⓐ 秋田回：</t>
    </r>
    <r>
      <rPr>
        <sz val="10"/>
        <color rgb="FF5F7285"/>
        <rFont val="Arial"/>
        <family val="0"/>
        <charset val="1"/>
      </rPr>
      <t xml:space="preserve">1/27–1/29 </t>
    </r>
    <r>
      <rPr>
        <sz val="10"/>
        <color rgb="FF5F7285"/>
        <rFont val="WenQuanYi Zen Hei"/>
        <family val="2"/>
      </rPr>
      <t xml:space="preserve">同上；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銀山溫泉 → 乳頭溫泉；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乳頭 → 田澤湖 → 秋田新幹線到秋田（約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小時）→ 巴士到機場（約 </t>
    </r>
    <r>
      <rPr>
        <sz val="10"/>
        <color rgb="FF5F7285"/>
        <rFont val="Arial"/>
        <family val="0"/>
        <charset val="1"/>
      </rPr>
      <t xml:space="preserve">40 </t>
    </r>
    <r>
      <rPr>
        <sz val="10"/>
        <color rgb="FF5F7285"/>
        <rFont val="WenQuanYi Zen Hei"/>
        <family val="2"/>
      </rPr>
      <t xml:space="preserve">分鐘）→ 虎航 </t>
    </r>
    <r>
      <rPr>
        <sz val="10"/>
        <color rgb="FF5F7285"/>
        <rFont val="Arial"/>
        <family val="0"/>
        <charset val="1"/>
      </rPr>
      <t xml:space="preserve">14:10 </t>
    </r>
    <r>
      <rPr>
        <sz val="10"/>
        <color rgb="FF5F7285"/>
        <rFont val="WenQuanYi Zen Hei"/>
        <family val="2"/>
      </rPr>
      <t xml:space="preserve">起飛。</t>
    </r>
  </si>
  <si>
    <r>
      <rPr>
        <sz val="10"/>
        <color rgb="FF5F7285"/>
        <rFont val="WenQuanYi Zen Hei"/>
        <family val="2"/>
      </rPr>
      <t xml:space="preserve">陸路參考：新庄—大曲之間的奧羽本線班次很少（院內站每天約 </t>
    </r>
    <r>
      <rPr>
        <sz val="10"/>
        <color rgb="FF5F7285"/>
        <rFont val="Arial"/>
        <family val="0"/>
        <charset val="1"/>
      </rPr>
      <t xml:space="preserve">7 </t>
    </r>
    <r>
      <rPr>
        <sz val="10"/>
        <color rgb="FF5F7285"/>
        <rFont val="WenQuanYi Zen Hei"/>
        <family val="2"/>
      </rPr>
      <t xml:space="preserve">班），出發前務必查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東日本時刻表；八甲田纜車冬季 </t>
    </r>
    <r>
      <rPr>
        <sz val="10"/>
        <color rgb="FF5F7285"/>
        <rFont val="Arial"/>
        <family val="0"/>
        <charset val="1"/>
      </rPr>
      <t xml:space="preserve">9:00–15:40</t>
    </r>
    <r>
      <rPr>
        <sz val="10"/>
        <color rgb="FF5F7285"/>
        <rFont val="WenQuanYi Zen Hei"/>
        <family val="2"/>
      </rPr>
      <t xml:space="preserve">，常因強風停駛。</t>
    </r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</si>
  <si>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</si>
  <si>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</si>
  <si>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</si>
  <si>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</si>
  <si>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</si>
  <si>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</si>
  <si>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</si>
  <si>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</si>
  <si>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</si>
  <si>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</si>
  <si>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</si>
  <si>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</si>
  <si>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</si>
  <si>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</si>
  <si>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</si>
  <si>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</si>
  <si>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</si>
  <si>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</si>
  <si>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</si>
  <si>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</si>
  <si>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</si>
  <si>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</si>
  <si>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</si>
  <si>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</si>
  <si>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</si>
  <si>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</si>
  <si>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</si>
  <si>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</si>
  <si>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</si>
  <si>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</si>
  <si>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</si>
  <si>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</si>
  <si>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</si>
  <si>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</si>
  <si>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</si>
  <si>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</si>
  <si>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</si>
  <si>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</si>
  <si>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</si>
  <si>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</si>
  <si>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</si>
  <si>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</si>
  <si>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</si>
  <si>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</si>
  <si>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</si>
  <si>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</si>
  <si>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</si>
  <si>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</si>
  <si>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</si>
  <si>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</si>
  <si>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</si>
  <si>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</si>
  <si>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</si>
  <si>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</si>
  <si>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</si>
  <si>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</si>
  <si>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</si>
  <si>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</si>
  <si>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</si>
  <si>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</si>
  <si>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</si>
  <si>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</si>
  <si>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</si>
  <si>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</si>
  <si>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</si>
  <si>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</si>
  <si>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</si>
  <si>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</si>
  <si>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</si>
  <si>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</si>
  <si>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</si>
  <si>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</si>
  <si>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</si>
  <si>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</si>
  <si>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</si>
  <si>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</si>
  <si>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</si>
  <si>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</si>
  <si>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</si>
  <si>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</si>
  <si>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</si>
  <si>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</si>
  <si>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</si>
  <si>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</si>
  <si>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</si>
  <si>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</si>
  <si>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</si>
  <si>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</si>
  <si>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</si>
  <si>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</si>
  <si>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</si>
  <si>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</si>
  <si>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</si>
  <si>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</si>
  <si>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</si>
  <si>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</si>
  <si>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</si>
  <si>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</si>
  <si>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</si>
  <si>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</si>
  <si>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</si>
  <si>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</si>
  <si>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</si>
  <si>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</si>
  <si>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</si>
  <si>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</si>
  <si>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</si>
  <si>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</si>
  <si>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</si>
  <si>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</si>
  <si>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</si>
  <si>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</si>
  <si>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</si>
  <si>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</si>
  <si>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</si>
  <si>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</si>
  <si>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</si>
  <si>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</si>
  <si>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</si>
  <si>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</si>
  <si>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</si>
  <si>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</si>
  <si>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</si>
  <si>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</si>
  <si>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</si>
  <si>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</si>
  <si>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</si>
  <si>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</si>
  <si>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</si>
  <si>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</si>
  <si>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</si>
  <si>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</si>
  <si>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</si>
  <si>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</si>
  <si>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</si>
  <si>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</si>
  <si>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</si>
  <si>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</si>
  <si>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</si>
  <si>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</si>
  <si>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</si>
  <si>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</si>
  <si>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</si>
  <si>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</si>
  <si>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</si>
  <si>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</si>
  <si>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</si>
  <si>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</si>
  <si>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</si>
  <si>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</si>
  <si>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</si>
  <si>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</si>
  <si>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</si>
  <si>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</si>
  <si>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</si>
  <si>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</si>
  <si>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</si>
  <si>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</si>
  <si>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</si>
  <si>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</si>
  <si>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</si>
  <si>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</si>
  <si>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</si>
  <si>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</si>
  <si>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</si>
  <si>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</si>
  <si>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</si>
  <si>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</si>
  <si>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</si>
  <si>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</si>
  <si>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</si>
  <si>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</si>
  <si>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</si>
  <si>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</si>
  <si>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</si>
  <si>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</si>
  <si>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</si>
  <si>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</si>
  <si>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</si>
  <si>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</si>
  <si>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</si>
  <si>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</si>
  <si>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機票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</si>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</sst>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34247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71</v>
      </c>
      <c r="B20" s="16" t="s">
        <v>59</v>
      </c>
      <c r="C20" s="16" t="s">
        <v>44</v>
      </c>
      <c r="D20" s="20" t="s">
        <v>72</v>
      </c>
      <c r="E20" s="21" t="n">
        <v>16439</v>
      </c>
      <c r="F20" s="16" t="s">
        <v>39</v>
      </c>
      <c r="G20" s="16" t="s">
        <v>46</v>
      </c>
    </row>
    <row r="21" customFormat="false" ht="15" hidden="false" customHeight="false" outlineLevel="0" collapsed="false">
      <c r="A21" s="20" t="s">
        <v>71</v>
      </c>
      <c r="B21" s="16" t="s">
        <v>59</v>
      </c>
      <c r="C21" s="16" t="s">
        <v>37</v>
      </c>
      <c r="D21" s="20" t="s">
        <v>60</v>
      </c>
      <c r="E21" s="21" t="n">
        <v>20518</v>
      </c>
      <c r="F21" s="16" t="s">
        <v>39</v>
      </c>
      <c r="G21" s="16" t="s">
        <v>73</v>
      </c>
    </row>
    <row r="22" customFormat="false" ht="15" hidden="false" customHeight="false" outlineLevel="0" collapsed="false">
      <c r="A22" s="22" t="s">
        <v>74</v>
      </c>
      <c r="B22" s="23" t="s">
        <v>59</v>
      </c>
      <c r="C22" s="23" t="s">
        <v>67</v>
      </c>
      <c r="D22" s="22" t="s">
        <v>64</v>
      </c>
      <c r="E22" s="24"/>
      <c r="F22" s="22" t="s">
        <v>64</v>
      </c>
      <c r="G22" s="23" t="s">
        <v>75</v>
      </c>
    </row>
    <row r="23" customFormat="false" ht="15" hidden="false" customHeight="false" outlineLevel="0" collapsed="false">
      <c r="A23" s="20" t="s">
        <v>47</v>
      </c>
      <c r="B23" s="16" t="s">
        <v>50</v>
      </c>
      <c r="C23" s="16" t="s">
        <v>37</v>
      </c>
      <c r="D23" s="20" t="s">
        <v>54</v>
      </c>
      <c r="E23" s="21" t="n">
        <v>17309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47</v>
      </c>
      <c r="B24" s="16" t="s">
        <v>50</v>
      </c>
      <c r="C24" s="16" t="s">
        <v>56</v>
      </c>
      <c r="D24" s="20" t="s">
        <v>57</v>
      </c>
      <c r="E24" s="21" t="n">
        <v>17246</v>
      </c>
      <c r="F24" s="16" t="s">
        <v>39</v>
      </c>
      <c r="G24" s="16" t="s">
        <v>43</v>
      </c>
    </row>
    <row r="25" customFormat="false" ht="15" hidden="false" customHeight="false" outlineLevel="0" collapsed="false">
      <c r="A25" s="20" t="s">
        <v>69</v>
      </c>
      <c r="B25" s="16" t="s">
        <v>76</v>
      </c>
      <c r="C25" s="16" t="s">
        <v>77</v>
      </c>
      <c r="D25" s="20" t="s">
        <v>78</v>
      </c>
      <c r="E25" s="21" t="n">
        <v>10294</v>
      </c>
      <c r="F25" s="16" t="s">
        <v>39</v>
      </c>
      <c r="G25" s="16" t="s">
        <v>79</v>
      </c>
    </row>
    <row r="26" customFormat="false" ht="15" hidden="false" customHeight="false" outlineLevel="0" collapsed="false">
      <c r="A26" s="20" t="s">
        <v>69</v>
      </c>
      <c r="B26" s="16" t="s">
        <v>76</v>
      </c>
      <c r="C26" s="16" t="s">
        <v>80</v>
      </c>
      <c r="D26" s="20" t="s">
        <v>81</v>
      </c>
      <c r="E26" s="21" t="n">
        <v>10752</v>
      </c>
      <c r="F26" s="16" t="s">
        <v>39</v>
      </c>
      <c r="G26" s="16" t="s">
        <v>43</v>
      </c>
    </row>
    <row r="27" customFormat="false" ht="15" hidden="false" customHeight="false" outlineLevel="0" collapsed="false">
      <c r="A27" s="20" t="s">
        <v>69</v>
      </c>
      <c r="B27" s="16" t="s">
        <v>76</v>
      </c>
      <c r="C27" s="16" t="s">
        <v>44</v>
      </c>
      <c r="D27" s="20" t="s">
        <v>82</v>
      </c>
      <c r="E27" s="21" t="n">
        <v>13137</v>
      </c>
      <c r="F27" s="16" t="s">
        <v>39</v>
      </c>
      <c r="G27" s="16" t="s">
        <v>43</v>
      </c>
    </row>
    <row r="28" customFormat="false" ht="15" hidden="false" customHeight="false" outlineLevel="0" collapsed="false">
      <c r="A28" s="20" t="s">
        <v>69</v>
      </c>
      <c r="B28" s="16" t="s">
        <v>76</v>
      </c>
      <c r="C28" s="16" t="s">
        <v>41</v>
      </c>
      <c r="D28" s="20" t="s">
        <v>83</v>
      </c>
      <c r="E28" s="21" t="n">
        <v>16591</v>
      </c>
      <c r="F28" s="16" t="s">
        <v>39</v>
      </c>
      <c r="G28" s="16" t="s">
        <v>73</v>
      </c>
    </row>
    <row r="29" customFormat="false" ht="15" hidden="false" customHeight="false" outlineLevel="0" collapsed="false">
      <c r="A29" s="20" t="s">
        <v>69</v>
      </c>
      <c r="B29" s="16" t="s">
        <v>76</v>
      </c>
      <c r="C29" s="16" t="s">
        <v>41</v>
      </c>
      <c r="D29" s="20" t="s">
        <v>84</v>
      </c>
      <c r="E29" s="21" t="n">
        <v>16591</v>
      </c>
      <c r="F29" s="16" t="s">
        <v>39</v>
      </c>
      <c r="G29" s="16" t="s">
        <v>73</v>
      </c>
    </row>
    <row r="30" customFormat="false" ht="15" hidden="false" customHeight="false" outlineLevel="0" collapsed="false">
      <c r="A30" s="20" t="s">
        <v>69</v>
      </c>
      <c r="B30" s="16" t="s">
        <v>85</v>
      </c>
      <c r="C30" s="16" t="s">
        <v>37</v>
      </c>
      <c r="D30" s="20" t="s">
        <v>86</v>
      </c>
      <c r="E30" s="21" t="n">
        <v>14855</v>
      </c>
      <c r="F30" s="16" t="s">
        <v>39</v>
      </c>
      <c r="G30" s="16" t="s">
        <v>87</v>
      </c>
    </row>
    <row r="31" customFormat="false" ht="15" hidden="false" customHeight="false" outlineLevel="0" collapsed="false">
      <c r="A31" s="20" t="s">
        <v>71</v>
      </c>
      <c r="B31" s="16" t="s">
        <v>76</v>
      </c>
      <c r="C31" s="16" t="s">
        <v>77</v>
      </c>
      <c r="D31" s="20" t="s">
        <v>88</v>
      </c>
      <c r="E31" s="21" t="n">
        <v>16343</v>
      </c>
      <c r="F31" s="16" t="s">
        <v>39</v>
      </c>
      <c r="G31" s="16" t="s">
        <v>43</v>
      </c>
    </row>
    <row r="32" customFormat="false" ht="15" hidden="false" customHeight="false" outlineLevel="0" collapsed="false">
      <c r="A32" s="20" t="s">
        <v>71</v>
      </c>
      <c r="B32" s="16" t="s">
        <v>76</v>
      </c>
      <c r="C32" s="16" t="s">
        <v>80</v>
      </c>
      <c r="D32" s="20" t="s">
        <v>89</v>
      </c>
      <c r="E32" s="21" t="n">
        <v>10752</v>
      </c>
      <c r="F32" s="16" t="s">
        <v>39</v>
      </c>
      <c r="G32" s="16" t="s">
        <v>43</v>
      </c>
    </row>
    <row r="33" customFormat="false" ht="15" hidden="false" customHeight="false" outlineLevel="0" collapsed="false">
      <c r="A33" s="20" t="s">
        <v>66</v>
      </c>
      <c r="B33" s="16" t="s">
        <v>76</v>
      </c>
      <c r="C33" s="16" t="s">
        <v>80</v>
      </c>
      <c r="D33" s="20" t="s">
        <v>81</v>
      </c>
      <c r="E33" s="21" t="n">
        <v>10752</v>
      </c>
      <c r="F33" s="16" t="s">
        <v>39</v>
      </c>
      <c r="G33" s="16" t="s">
        <v>43</v>
      </c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77</v>
      </c>
      <c r="D34" s="20" t="s">
        <v>88</v>
      </c>
      <c r="E34" s="21" t="n">
        <v>14542</v>
      </c>
      <c r="F34" s="16" t="s">
        <v>39</v>
      </c>
      <c r="G34" s="16" t="s">
        <v>90</v>
      </c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21" t="n">
        <v>13212</v>
      </c>
      <c r="F35" s="16" t="s">
        <v>39</v>
      </c>
      <c r="G35" s="16" t="s">
        <v>43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44</v>
      </c>
      <c r="D36" s="20" t="s">
        <v>91</v>
      </c>
      <c r="E36" s="21" t="n">
        <v>13149</v>
      </c>
      <c r="F36" s="16" t="s">
        <v>39</v>
      </c>
      <c r="G36" s="16" t="s">
        <v>92</v>
      </c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93</v>
      </c>
      <c r="D37" s="20" t="s">
        <v>94</v>
      </c>
      <c r="E37" s="21" t="n">
        <v>18549</v>
      </c>
      <c r="F37" s="16" t="s">
        <v>39</v>
      </c>
      <c r="G37" s="16" t="s">
        <v>43</v>
      </c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41</v>
      </c>
      <c r="D38" s="20" t="s">
        <v>95</v>
      </c>
      <c r="E38" s="21" t="n">
        <v>21166</v>
      </c>
      <c r="F38" s="16" t="s">
        <v>39</v>
      </c>
      <c r="G38" s="16" t="s">
        <v>96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37</v>
      </c>
      <c r="D39" s="20" t="s">
        <v>97</v>
      </c>
      <c r="E39" s="21" t="n">
        <v>27583</v>
      </c>
      <c r="F39" s="16" t="s">
        <v>39</v>
      </c>
      <c r="G39" s="16" t="s">
        <v>43</v>
      </c>
    </row>
    <row r="40" customFormat="false" ht="15" hidden="false" customHeight="false" outlineLevel="0" collapsed="false">
      <c r="A40" s="20" t="s">
        <v>58</v>
      </c>
      <c r="B40" s="16" t="s">
        <v>85</v>
      </c>
      <c r="C40" s="16" t="s">
        <v>56</v>
      </c>
      <c r="D40" s="20" t="s">
        <v>98</v>
      </c>
      <c r="E40" s="21" t="n">
        <v>15742</v>
      </c>
      <c r="F40" s="16" t="s">
        <v>39</v>
      </c>
      <c r="G40" s="16" t="s">
        <v>99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51</v>
      </c>
      <c r="D41" s="20" t="s">
        <v>100</v>
      </c>
      <c r="E41" s="21" t="n">
        <v>37120</v>
      </c>
      <c r="F41" s="16" t="s">
        <v>39</v>
      </c>
      <c r="G41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44"/>
  </cols>
  <sheetData>
    <row r="1" customFormat="false" ht="17.15" hidden="false" customHeight="false" outlineLevel="0" collapsed="false">
      <c r="A1" s="25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8" t="s">
        <v>10</v>
      </c>
      <c r="B4" s="8" t="s">
        <v>104</v>
      </c>
      <c r="C4" s="8" t="s">
        <v>105</v>
      </c>
      <c r="D4" s="8" t="s">
        <v>106</v>
      </c>
      <c r="E4" s="8" t="s">
        <v>107</v>
      </c>
      <c r="F4" s="8" t="s">
        <v>108</v>
      </c>
      <c r="G4" s="8" t="s">
        <v>109</v>
      </c>
      <c r="H4" s="8" t="s">
        <v>110</v>
      </c>
      <c r="I4" s="8" t="s">
        <v>111</v>
      </c>
      <c r="J4" s="8" t="s">
        <v>112</v>
      </c>
    </row>
    <row r="5" customFormat="false" ht="26.85" hidden="false" customHeight="false" outlineLevel="0" collapsed="false">
      <c r="A5" s="26" t="s">
        <v>113</v>
      </c>
      <c r="B5" s="12" t="n">
        <v>4</v>
      </c>
      <c r="C5" s="27" t="s">
        <v>114</v>
      </c>
      <c r="D5" s="28" t="n">
        <v>9725</v>
      </c>
      <c r="E5" s="27" t="s">
        <v>115</v>
      </c>
      <c r="F5" s="28" t="n">
        <v>10309</v>
      </c>
      <c r="G5" s="28" t="n">
        <v>2000</v>
      </c>
      <c r="H5" s="29" t="n">
        <f aca="false">2600+11670+12780+2600</f>
        <v>29650</v>
      </c>
      <c r="I5" s="30" t="n">
        <f aca="false">D5+F5+G5+H5*總覽!$B$5</f>
        <v>28260.5</v>
      </c>
      <c r="J5" s="12" t="s">
        <v>116</v>
      </c>
    </row>
    <row r="6" customFormat="false" ht="26.85" hidden="false" customHeight="false" outlineLevel="0" collapsed="false">
      <c r="A6" s="16" t="s">
        <v>117</v>
      </c>
      <c r="B6" s="16" t="n">
        <v>4</v>
      </c>
      <c r="C6" s="20" t="s">
        <v>118</v>
      </c>
      <c r="D6" s="21" t="n">
        <v>19040</v>
      </c>
      <c r="E6" s="20" t="s">
        <v>119</v>
      </c>
      <c r="F6" s="21" t="n">
        <v>16616</v>
      </c>
      <c r="G6" s="21" t="n">
        <v>0</v>
      </c>
      <c r="H6" s="31" t="n">
        <f aca="false">2600+11670+12780+2600</f>
        <v>29650</v>
      </c>
      <c r="I6" s="32" t="n">
        <f aca="false">D6+F6+G6+H6*總覽!$B$5</f>
        <v>41882.5</v>
      </c>
      <c r="J6" s="16" t="s">
        <v>120</v>
      </c>
    </row>
    <row r="7" customFormat="false" ht="15" hidden="false" customHeight="false" outlineLevel="0" collapsed="false">
      <c r="A7" s="16" t="s">
        <v>121</v>
      </c>
      <c r="B7" s="16" t="n">
        <v>4</v>
      </c>
      <c r="C7" s="20" t="s">
        <v>122</v>
      </c>
      <c r="D7" s="21" t="n">
        <v>15727</v>
      </c>
      <c r="E7" s="20" t="s">
        <v>115</v>
      </c>
      <c r="F7" s="21" t="n">
        <v>10309</v>
      </c>
      <c r="G7" s="21" t="n">
        <v>1000</v>
      </c>
      <c r="H7" s="31" t="n">
        <f aca="false">680+1690+12780+2600</f>
        <v>17750</v>
      </c>
      <c r="I7" s="32" t="n">
        <f aca="false">D7+F7+G7+H7*總覽!$B$5</f>
        <v>30763.5</v>
      </c>
      <c r="J7" s="16" t="s">
        <v>123</v>
      </c>
    </row>
    <row r="8" customFormat="false" ht="15" hidden="false" customHeight="false" outlineLevel="0" collapsed="false">
      <c r="A8" s="16" t="s">
        <v>124</v>
      </c>
      <c r="B8" s="16" t="n">
        <v>4</v>
      </c>
      <c r="C8" s="20" t="s">
        <v>125</v>
      </c>
      <c r="D8" s="21" t="n">
        <v>17315</v>
      </c>
      <c r="E8" s="20" t="s">
        <v>126</v>
      </c>
      <c r="F8" s="21" t="n">
        <v>14855</v>
      </c>
      <c r="G8" s="21" t="n">
        <v>0</v>
      </c>
      <c r="H8" s="31" t="n">
        <f aca="false">600+11670+12780+600</f>
        <v>25650</v>
      </c>
      <c r="I8" s="32" t="n">
        <f aca="false">D8+F8+G8+H8*總覽!$B$5</f>
        <v>37556.5</v>
      </c>
      <c r="J8" s="16" t="s">
        <v>127</v>
      </c>
    </row>
    <row r="9" customFormat="false" ht="26.85" hidden="false" customHeight="false" outlineLevel="0" collapsed="false">
      <c r="A9" s="16" t="s">
        <v>128</v>
      </c>
      <c r="B9" s="16" t="n">
        <v>4</v>
      </c>
      <c r="C9" s="20" t="s">
        <v>129</v>
      </c>
      <c r="D9" s="21" t="n">
        <v>13099</v>
      </c>
      <c r="E9" s="20" t="s">
        <v>130</v>
      </c>
      <c r="F9" s="21" t="n">
        <v>10891</v>
      </c>
      <c r="G9" s="21" t="n">
        <v>2000</v>
      </c>
      <c r="H9" s="31" t="n">
        <f aca="false">6000+6000</f>
        <v>12000</v>
      </c>
      <c r="I9" s="32" t="n">
        <f aca="false">D9+F9+G9+H9*總覽!$B$5</f>
        <v>28510</v>
      </c>
      <c r="J9" s="16" t="s">
        <v>131</v>
      </c>
    </row>
    <row r="11" customFormat="false" ht="15" hidden="false" customHeight="false" outlineLevel="0" collapsed="false">
      <c r="A11" s="2" t="s">
        <v>132</v>
      </c>
    </row>
    <row r="12" customFormat="false" ht="15" hidden="false" customHeight="false" outlineLevel="0" collapsed="false">
      <c r="A12" s="2" t="s">
        <v>133</v>
      </c>
    </row>
    <row r="14" customFormat="false" ht="16.4" hidden="false" customHeight="false" outlineLevel="0" collapsed="false">
      <c r="A14" s="33" t="s">
        <v>134</v>
      </c>
    </row>
    <row r="15" customFormat="false" ht="15" hidden="false" customHeight="false" outlineLevel="0" collapsed="false">
      <c r="A15" s="8" t="s">
        <v>11</v>
      </c>
      <c r="B15" s="8" t="s">
        <v>135</v>
      </c>
      <c r="C15" s="8" t="s">
        <v>136</v>
      </c>
      <c r="D15" s="8" t="s">
        <v>137</v>
      </c>
      <c r="E15" s="8" t="s">
        <v>138</v>
      </c>
    </row>
    <row r="16" customFormat="false" ht="39.55" hidden="false" customHeight="false" outlineLevel="0" collapsed="false">
      <c r="A16" s="34" t="s">
        <v>139</v>
      </c>
      <c r="B16" s="35" t="s">
        <v>140</v>
      </c>
      <c r="C16" s="36" t="s">
        <v>141</v>
      </c>
      <c r="D16" s="36" t="s">
        <v>142</v>
      </c>
      <c r="E16" s="36" t="s">
        <v>143</v>
      </c>
    </row>
    <row r="17" customFormat="false" ht="38.05" hidden="false" customHeight="false" outlineLevel="0" collapsed="false">
      <c r="A17" s="16"/>
      <c r="B17" s="20" t="s">
        <v>144</v>
      </c>
      <c r="C17" s="16" t="s">
        <v>145</v>
      </c>
      <c r="D17" s="16" t="s">
        <v>146</v>
      </c>
      <c r="E17" s="16"/>
    </row>
    <row r="18" customFormat="false" ht="39.55" hidden="false" customHeight="false" outlineLevel="0" collapsed="false">
      <c r="A18" s="16"/>
      <c r="B18" s="20" t="s">
        <v>147</v>
      </c>
      <c r="C18" s="16" t="s">
        <v>148</v>
      </c>
      <c r="D18" s="16" t="s">
        <v>149</v>
      </c>
      <c r="E18" s="16"/>
    </row>
    <row r="19" customFormat="false" ht="26.85" hidden="false" customHeight="false" outlineLevel="0" collapsed="false">
      <c r="A19" s="16"/>
      <c r="B19" s="20" t="s">
        <v>150</v>
      </c>
      <c r="C19" s="16" t="s">
        <v>151</v>
      </c>
      <c r="D19" s="16" t="s">
        <v>152</v>
      </c>
      <c r="E19" s="16" t="s">
        <v>153</v>
      </c>
    </row>
    <row r="20" customFormat="false" ht="25.35" hidden="false" customHeight="false" outlineLevel="0" collapsed="false">
      <c r="A20" s="34" t="s">
        <v>154</v>
      </c>
      <c r="B20" s="35" t="s">
        <v>155</v>
      </c>
      <c r="C20" s="36" t="s">
        <v>156</v>
      </c>
      <c r="D20" s="36" t="s">
        <v>157</v>
      </c>
      <c r="E20" s="36" t="s">
        <v>158</v>
      </c>
    </row>
    <row r="21" customFormat="false" ht="26.85" hidden="false" customHeight="false" outlineLevel="0" collapsed="false">
      <c r="A21" s="16"/>
      <c r="B21" s="20" t="s">
        <v>147</v>
      </c>
      <c r="C21" s="16" t="s">
        <v>159</v>
      </c>
      <c r="D21" s="16" t="s">
        <v>160</v>
      </c>
      <c r="E21" s="16" t="s">
        <v>161</v>
      </c>
    </row>
    <row r="22" customFormat="false" ht="15" hidden="false" customHeight="false" outlineLevel="0" collapsed="false">
      <c r="A22" s="16"/>
      <c r="B22" s="20" t="s">
        <v>162</v>
      </c>
      <c r="C22" s="16" t="s">
        <v>163</v>
      </c>
      <c r="D22" s="16"/>
      <c r="E22" s="16" t="s">
        <v>164</v>
      </c>
    </row>
    <row r="23" customFormat="false" ht="26.85" hidden="false" customHeight="false" outlineLevel="0" collapsed="false">
      <c r="A23" s="34" t="s">
        <v>165</v>
      </c>
      <c r="B23" s="35" t="s">
        <v>166</v>
      </c>
      <c r="C23" s="36" t="s">
        <v>167</v>
      </c>
      <c r="D23" s="35" t="s">
        <v>168</v>
      </c>
      <c r="E23" s="36"/>
    </row>
    <row r="24" customFormat="false" ht="39.55" hidden="false" customHeight="false" outlineLevel="0" collapsed="false">
      <c r="A24" s="12"/>
      <c r="B24" s="27" t="s">
        <v>169</v>
      </c>
      <c r="C24" s="12" t="s">
        <v>170</v>
      </c>
      <c r="D24" s="12" t="s">
        <v>171</v>
      </c>
      <c r="E24" s="12" t="s">
        <v>172</v>
      </c>
    </row>
    <row r="25" customFormat="false" ht="15" hidden="false" customHeight="false" outlineLevel="0" collapsed="false">
      <c r="A25" s="34" t="s">
        <v>173</v>
      </c>
      <c r="B25" s="35" t="s">
        <v>174</v>
      </c>
      <c r="C25" s="36" t="s">
        <v>175</v>
      </c>
      <c r="D25" s="36"/>
      <c r="E25" s="36" t="s">
        <v>176</v>
      </c>
    </row>
    <row r="26" customFormat="false" ht="38.05" hidden="false" customHeight="false" outlineLevel="0" collapsed="false">
      <c r="A26" s="16"/>
      <c r="B26" s="20" t="s">
        <v>166</v>
      </c>
      <c r="C26" s="16" t="s">
        <v>177</v>
      </c>
      <c r="D26" s="16" t="s">
        <v>178</v>
      </c>
      <c r="E26" s="16" t="s">
        <v>179</v>
      </c>
    </row>
    <row r="27" customFormat="false" ht="15" hidden="false" customHeight="false" outlineLevel="0" collapsed="false">
      <c r="A27" s="16"/>
      <c r="B27" s="20" t="s">
        <v>180</v>
      </c>
      <c r="C27" s="16" t="s">
        <v>181</v>
      </c>
      <c r="D27" s="16"/>
      <c r="E27" s="16" t="s">
        <v>182</v>
      </c>
    </row>
    <row r="28" customFormat="false" ht="15" hidden="false" customHeight="false" outlineLevel="0" collapsed="false">
      <c r="A28" s="34" t="s">
        <v>183</v>
      </c>
      <c r="B28" s="36" t="s">
        <v>184</v>
      </c>
      <c r="C28" s="36" t="s">
        <v>185</v>
      </c>
      <c r="D28" s="36"/>
      <c r="E28" s="36" t="s">
        <v>186</v>
      </c>
    </row>
    <row r="29" customFormat="false" ht="15" hidden="false" customHeight="false" outlineLevel="0" collapsed="false">
      <c r="A29" s="34" t="s">
        <v>187</v>
      </c>
      <c r="B29" s="36" t="s">
        <v>188</v>
      </c>
      <c r="C29" s="36" t="s">
        <v>189</v>
      </c>
      <c r="D29" s="36"/>
      <c r="E29" s="36"/>
    </row>
    <row r="30" customFormat="false" ht="38.05" hidden="false" customHeight="false" outlineLevel="0" collapsed="false">
      <c r="A30" s="16"/>
      <c r="B30" s="20" t="s">
        <v>180</v>
      </c>
      <c r="C30" s="16" t="s">
        <v>190</v>
      </c>
      <c r="D30" s="20" t="s">
        <v>191</v>
      </c>
      <c r="E30" s="16" t="s">
        <v>192</v>
      </c>
    </row>
    <row r="31" customFormat="false" ht="15" hidden="false" customHeight="false" outlineLevel="0" collapsed="false">
      <c r="A31" s="16"/>
      <c r="B31" s="20" t="s">
        <v>193</v>
      </c>
      <c r="C31" s="16" t="s">
        <v>194</v>
      </c>
      <c r="D31" s="16"/>
      <c r="E31" s="16" t="s">
        <v>195</v>
      </c>
    </row>
    <row r="33" customFormat="false" ht="15" hidden="false" customHeight="false" outlineLevel="0" collapsed="false">
      <c r="A33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17.15" hidden="false" customHeight="false" outlineLevel="0" collapsed="false">
      <c r="A1" s="25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11</v>
      </c>
      <c r="B4" s="8" t="s">
        <v>199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202</v>
      </c>
    </row>
    <row r="6" customFormat="false" ht="15" hidden="false" customHeight="false" outlineLevel="0" collapsed="false">
      <c r="A6" s="22" t="s">
        <v>203</v>
      </c>
      <c r="B6" s="23" t="s">
        <v>36</v>
      </c>
      <c r="C6" s="23" t="s">
        <v>41</v>
      </c>
      <c r="D6" s="22" t="s">
        <v>42</v>
      </c>
      <c r="E6" s="24" t="n">
        <v>44374</v>
      </c>
      <c r="F6" s="23" t="s">
        <v>61</v>
      </c>
      <c r="G6" s="23" t="s">
        <v>202</v>
      </c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/>
    </row>
    <row r="8" customFormat="false" ht="15" hidden="false" customHeight="false" outlineLevel="0" collapsed="false">
      <c r="A8" s="20" t="s">
        <v>204</v>
      </c>
      <c r="B8" s="16" t="s">
        <v>36</v>
      </c>
      <c r="C8" s="16" t="s">
        <v>37</v>
      </c>
      <c r="D8" s="20" t="s">
        <v>38</v>
      </c>
      <c r="E8" s="21" t="n">
        <v>27591</v>
      </c>
      <c r="F8" s="16" t="s">
        <v>39</v>
      </c>
      <c r="G8" s="16"/>
    </row>
    <row r="9" customFormat="false" ht="15" hidden="false" customHeight="false" outlineLevel="0" collapsed="false">
      <c r="A9" s="22" t="s">
        <v>205</v>
      </c>
      <c r="B9" s="23" t="s">
        <v>36</v>
      </c>
      <c r="C9" s="22" t="s">
        <v>64</v>
      </c>
      <c r="D9" s="22" t="s">
        <v>64</v>
      </c>
      <c r="E9" s="24"/>
      <c r="F9" s="22" t="s">
        <v>64</v>
      </c>
      <c r="G9" s="23" t="s">
        <v>75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44</v>
      </c>
      <c r="D10" s="20" t="s">
        <v>45</v>
      </c>
      <c r="E10" s="21" t="n">
        <v>15599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 t="s">
        <v>206</v>
      </c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37</v>
      </c>
      <c r="D12" s="20" t="s">
        <v>38</v>
      </c>
      <c r="E12" s="21" t="n">
        <v>25171</v>
      </c>
      <c r="F12" s="16" t="s">
        <v>39</v>
      </c>
      <c r="G12" s="16" t="s">
        <v>207</v>
      </c>
    </row>
    <row r="13" customFormat="false" ht="26.85" hidden="false" customHeight="false" outlineLevel="0" collapsed="false">
      <c r="A13" s="20" t="s">
        <v>47</v>
      </c>
      <c r="B13" s="16" t="s">
        <v>36</v>
      </c>
      <c r="C13" s="16" t="s">
        <v>41</v>
      </c>
      <c r="D13" s="20" t="s">
        <v>42</v>
      </c>
      <c r="E13" s="21" t="n">
        <v>15733</v>
      </c>
      <c r="F13" s="16" t="s">
        <v>39</v>
      </c>
      <c r="G13" s="16" t="s">
        <v>208</v>
      </c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37</v>
      </c>
      <c r="D14" s="20" t="s">
        <v>38</v>
      </c>
      <c r="E14" s="21" t="n">
        <v>17781</v>
      </c>
      <c r="F14" s="16" t="s">
        <v>39</v>
      </c>
      <c r="G14" s="16" t="s">
        <v>209</v>
      </c>
    </row>
    <row r="15" customFormat="false" ht="15" hidden="false" customHeight="false" outlineLevel="0" collapsed="false">
      <c r="A15" s="20" t="s">
        <v>49</v>
      </c>
      <c r="B15" s="16" t="s">
        <v>36</v>
      </c>
      <c r="C15" s="16" t="s">
        <v>44</v>
      </c>
      <c r="D15" s="20" t="s">
        <v>45</v>
      </c>
      <c r="E15" s="21" t="n">
        <v>14099</v>
      </c>
      <c r="F15" s="16" t="s">
        <v>39</v>
      </c>
      <c r="G15" s="16" t="s">
        <v>210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 t="s">
        <v>211</v>
      </c>
    </row>
    <row r="17" customFormat="false" ht="15" hidden="false" customHeight="false" outlineLevel="0" collapsed="false">
      <c r="A17" s="22" t="s">
        <v>49</v>
      </c>
      <c r="B17" s="23" t="s">
        <v>36</v>
      </c>
      <c r="C17" s="23" t="s">
        <v>37</v>
      </c>
      <c r="D17" s="22" t="s">
        <v>38</v>
      </c>
      <c r="E17" s="24" t="n">
        <v>44798</v>
      </c>
      <c r="F17" s="23" t="s">
        <v>61</v>
      </c>
      <c r="G17" s="23" t="s">
        <v>202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2" t="s">
        <v>64</v>
      </c>
      <c r="D18" s="22" t="s">
        <v>64</v>
      </c>
      <c r="E18" s="24"/>
      <c r="F18" s="22" t="s">
        <v>64</v>
      </c>
      <c r="G18" s="23" t="s">
        <v>75</v>
      </c>
    </row>
    <row r="19" customFormat="false" ht="15" hidden="false" customHeight="false" outlineLevel="0" collapsed="false">
      <c r="A19" s="22" t="s">
        <v>58</v>
      </c>
      <c r="B19" s="23" t="s">
        <v>59</v>
      </c>
      <c r="C19" s="23" t="s">
        <v>37</v>
      </c>
      <c r="D19" s="22" t="s">
        <v>60</v>
      </c>
      <c r="E19" s="24" t="n">
        <v>33029</v>
      </c>
      <c r="F19" s="23" t="s">
        <v>61</v>
      </c>
      <c r="G19" s="23" t="s">
        <v>202</v>
      </c>
    </row>
    <row r="20" customFormat="false" ht="15" hidden="false" customHeight="false" outlineLevel="0" collapsed="false">
      <c r="A20" s="22" t="s">
        <v>58</v>
      </c>
      <c r="B20" s="23" t="s">
        <v>59</v>
      </c>
      <c r="C20" s="23" t="s">
        <v>41</v>
      </c>
      <c r="D20" s="22" t="s">
        <v>63</v>
      </c>
      <c r="E20" s="24"/>
      <c r="F20" s="23" t="s">
        <v>212</v>
      </c>
      <c r="G20" s="23" t="s">
        <v>213</v>
      </c>
    </row>
    <row r="21" customFormat="false" ht="15" hidden="false" customHeight="false" outlineLevel="0" collapsed="false">
      <c r="A21" s="22" t="s">
        <v>69</v>
      </c>
      <c r="B21" s="23" t="s">
        <v>59</v>
      </c>
      <c r="C21" s="23" t="s">
        <v>41</v>
      </c>
      <c r="D21" s="22" t="s">
        <v>63</v>
      </c>
      <c r="E21" s="24" t="n">
        <v>34301</v>
      </c>
      <c r="F21" s="23" t="s">
        <v>61</v>
      </c>
      <c r="G21" s="23" t="s">
        <v>214</v>
      </c>
    </row>
    <row r="22" customFormat="false" ht="15" hidden="false" customHeight="false" outlineLevel="0" collapsed="false">
      <c r="A22" s="20" t="s">
        <v>71</v>
      </c>
      <c r="B22" s="16" t="s">
        <v>59</v>
      </c>
      <c r="C22" s="16" t="s">
        <v>44</v>
      </c>
      <c r="D22" s="20" t="s">
        <v>72</v>
      </c>
      <c r="E22" s="21" t="n">
        <v>16466</v>
      </c>
      <c r="F22" s="16" t="s">
        <v>39</v>
      </c>
      <c r="G22" s="16" t="s">
        <v>215</v>
      </c>
    </row>
    <row r="23" customFormat="false" ht="15" hidden="false" customHeight="false" outlineLevel="0" collapsed="false">
      <c r="A23" s="20" t="s">
        <v>71</v>
      </c>
      <c r="B23" s="16" t="s">
        <v>59</v>
      </c>
      <c r="C23" s="16" t="s">
        <v>37</v>
      </c>
      <c r="D23" s="20" t="s">
        <v>60</v>
      </c>
      <c r="E23" s="21" t="n">
        <v>20549</v>
      </c>
      <c r="F23" s="16" t="s">
        <v>39</v>
      </c>
      <c r="G23" s="16" t="s">
        <v>207</v>
      </c>
    </row>
    <row r="24" customFormat="false" ht="15" hidden="false" customHeight="false" outlineLevel="0" collapsed="false">
      <c r="A24" s="22" t="s">
        <v>74</v>
      </c>
      <c r="B24" s="23" t="s">
        <v>59</v>
      </c>
      <c r="C24" s="22" t="s">
        <v>64</v>
      </c>
      <c r="D24" s="22" t="s">
        <v>64</v>
      </c>
      <c r="E24" s="24"/>
      <c r="F24" s="22" t="s">
        <v>64</v>
      </c>
      <c r="G24" s="23" t="s">
        <v>75</v>
      </c>
    </row>
    <row r="26" customFormat="false" ht="15" hidden="false" customHeight="false" outlineLevel="0" collapsed="false">
      <c r="A26" s="33" t="s">
        <v>216</v>
      </c>
    </row>
    <row r="27" customFormat="false" ht="15" hidden="false" customHeight="false" outlineLevel="0" collapsed="false">
      <c r="A27" s="8" t="s">
        <v>217</v>
      </c>
      <c r="B27" s="8" t="s">
        <v>104</v>
      </c>
      <c r="C27" s="8" t="s">
        <v>105</v>
      </c>
      <c r="D27" s="8" t="s">
        <v>218</v>
      </c>
      <c r="E27" s="8" t="s">
        <v>107</v>
      </c>
      <c r="F27" s="8" t="s">
        <v>219</v>
      </c>
      <c r="G27" s="8" t="s">
        <v>220</v>
      </c>
      <c r="H27" s="8" t="s">
        <v>221</v>
      </c>
      <c r="I27" s="8" t="s">
        <v>222</v>
      </c>
    </row>
    <row r="28" customFormat="false" ht="26.85" hidden="false" customHeight="false" outlineLevel="0" collapsed="false">
      <c r="A28" s="16" t="s">
        <v>223</v>
      </c>
      <c r="B28" s="16" t="n">
        <v>4</v>
      </c>
      <c r="C28" s="20" t="s">
        <v>224</v>
      </c>
      <c r="D28" s="21" t="n">
        <v>14099</v>
      </c>
      <c r="E28" s="20" t="s">
        <v>225</v>
      </c>
      <c r="F28" s="21" t="n">
        <v>16466</v>
      </c>
      <c r="G28" s="21" t="n">
        <v>1900</v>
      </c>
      <c r="H28" s="32" t="n">
        <f aca="false">D28+F28+G28</f>
        <v>32465</v>
      </c>
      <c r="I28" s="16" t="s">
        <v>226</v>
      </c>
    </row>
    <row r="29" customFormat="false" ht="26.85" hidden="false" customHeight="false" outlineLevel="0" collapsed="false">
      <c r="A29" s="26" t="s">
        <v>227</v>
      </c>
      <c r="B29" s="12" t="n">
        <v>4</v>
      </c>
      <c r="C29" s="27" t="s">
        <v>224</v>
      </c>
      <c r="D29" s="28" t="n">
        <v>14099</v>
      </c>
      <c r="E29" s="27" t="s">
        <v>228</v>
      </c>
      <c r="F29" s="28" t="n">
        <v>20549</v>
      </c>
      <c r="G29" s="28" t="n">
        <v>950</v>
      </c>
      <c r="H29" s="30" t="n">
        <f aca="false">D29+F29+G29</f>
        <v>35598</v>
      </c>
      <c r="I29" s="12" t="s">
        <v>229</v>
      </c>
    </row>
    <row r="30" customFormat="false" ht="26.85" hidden="false" customHeight="false" outlineLevel="0" collapsed="false">
      <c r="A30" s="16" t="s">
        <v>230</v>
      </c>
      <c r="B30" s="16" t="n">
        <v>4</v>
      </c>
      <c r="C30" s="20" t="s">
        <v>231</v>
      </c>
      <c r="D30" s="21" t="n">
        <v>22784</v>
      </c>
      <c r="E30" s="20" t="s">
        <v>228</v>
      </c>
      <c r="F30" s="21" t="n">
        <v>20549</v>
      </c>
      <c r="G30" s="21" t="n">
        <v>0</v>
      </c>
      <c r="H30" s="32" t="n">
        <f aca="false">D30+F30+G30</f>
        <v>43333</v>
      </c>
      <c r="I30" s="16" t="s">
        <v>232</v>
      </c>
    </row>
    <row r="31" customFormat="false" ht="26.85" hidden="false" customHeight="false" outlineLevel="0" collapsed="false">
      <c r="A31" s="16" t="s">
        <v>233</v>
      </c>
      <c r="B31" s="16" t="n">
        <v>5</v>
      </c>
      <c r="C31" s="20" t="s">
        <v>234</v>
      </c>
      <c r="D31" s="21" t="n">
        <v>15733</v>
      </c>
      <c r="E31" s="20" t="s">
        <v>225</v>
      </c>
      <c r="F31" s="21" t="n">
        <v>16466</v>
      </c>
      <c r="G31" s="21" t="n">
        <v>950</v>
      </c>
      <c r="H31" s="32" t="n">
        <f aca="false">D31+F31+G31</f>
        <v>33149</v>
      </c>
      <c r="I31" s="16" t="s">
        <v>235</v>
      </c>
    </row>
    <row r="32" customFormat="false" ht="26.85" hidden="false" customHeight="false" outlineLevel="0" collapsed="false">
      <c r="A32" s="16" t="s">
        <v>236</v>
      </c>
      <c r="B32" s="16" t="n">
        <v>5</v>
      </c>
      <c r="C32" s="20" t="s">
        <v>237</v>
      </c>
      <c r="D32" s="21" t="n">
        <v>17781</v>
      </c>
      <c r="E32" s="20" t="s">
        <v>228</v>
      </c>
      <c r="F32" s="21" t="n">
        <v>20549</v>
      </c>
      <c r="G32" s="21" t="n">
        <v>0</v>
      </c>
      <c r="H32" s="32" t="n">
        <f aca="false">D32+F32+G32</f>
        <v>38330</v>
      </c>
      <c r="I32" s="16" t="s">
        <v>238</v>
      </c>
    </row>
    <row r="33" customFormat="false" ht="26.85" hidden="false" customHeight="false" outlineLevel="0" collapsed="false">
      <c r="A33" s="16" t="s">
        <v>239</v>
      </c>
      <c r="B33" s="16" t="n">
        <v>4</v>
      </c>
      <c r="C33" s="20" t="s">
        <v>234</v>
      </c>
      <c r="D33" s="21" t="n">
        <v>15733</v>
      </c>
      <c r="E33" s="20" t="s">
        <v>240</v>
      </c>
      <c r="F33" s="21" t="n">
        <v>33029</v>
      </c>
      <c r="G33" s="21" t="n">
        <v>0</v>
      </c>
      <c r="H33" s="32" t="n">
        <f aca="false">D33+F33+G33</f>
        <v>48762</v>
      </c>
      <c r="I33" s="16" t="s">
        <v>241</v>
      </c>
    </row>
    <row r="35" customFormat="false" ht="16.4" hidden="false" customHeight="false" outlineLevel="0" collapsed="false">
      <c r="A35" s="33" t="s">
        <v>242</v>
      </c>
    </row>
    <row r="36" customFormat="false" ht="15" hidden="false" customHeight="false" outlineLevel="0" collapsed="false">
      <c r="A36" s="8" t="s">
        <v>11</v>
      </c>
      <c r="B36" s="8" t="s">
        <v>136</v>
      </c>
      <c r="C36" s="8"/>
      <c r="D36" s="8"/>
      <c r="E36" s="8"/>
      <c r="F36" s="8"/>
      <c r="G36" s="8" t="s">
        <v>243</v>
      </c>
    </row>
    <row r="37" customFormat="false" ht="15" hidden="false" customHeight="true" outlineLevel="0" collapsed="false">
      <c r="A37" s="37" t="s">
        <v>154</v>
      </c>
      <c r="B37" s="16" t="s">
        <v>244</v>
      </c>
      <c r="C37" s="16"/>
      <c r="D37" s="16"/>
      <c r="E37" s="16"/>
      <c r="F37" s="16"/>
      <c r="G37" s="16" t="s">
        <v>245</v>
      </c>
    </row>
    <row r="38" customFormat="false" ht="26.85" hidden="false" customHeight="true" outlineLevel="0" collapsed="false">
      <c r="A38" s="38" t="s">
        <v>165</v>
      </c>
      <c r="B38" s="12" t="s">
        <v>246</v>
      </c>
      <c r="C38" s="12"/>
      <c r="D38" s="12"/>
      <c r="E38" s="12"/>
      <c r="F38" s="12"/>
      <c r="G38" s="12" t="s">
        <v>247</v>
      </c>
    </row>
    <row r="39" customFormat="false" ht="15" hidden="false" customHeight="true" outlineLevel="0" collapsed="false">
      <c r="A39" s="37" t="s">
        <v>173</v>
      </c>
      <c r="B39" s="16" t="s">
        <v>248</v>
      </c>
      <c r="C39" s="16"/>
      <c r="D39" s="16"/>
      <c r="E39" s="16"/>
      <c r="F39" s="16"/>
      <c r="G39" s="16" t="s">
        <v>249</v>
      </c>
    </row>
    <row r="40" customFormat="false" ht="15" hidden="false" customHeight="true" outlineLevel="0" collapsed="false">
      <c r="A40" s="37" t="s">
        <v>183</v>
      </c>
      <c r="B40" s="16" t="s">
        <v>250</v>
      </c>
      <c r="C40" s="16"/>
      <c r="D40" s="16"/>
      <c r="E40" s="16"/>
      <c r="F40" s="16"/>
      <c r="G40" s="16" t="s">
        <v>251</v>
      </c>
    </row>
    <row r="41" customFormat="false" ht="15" hidden="false" customHeight="true" outlineLevel="0" collapsed="false">
      <c r="A41" s="37" t="s">
        <v>187</v>
      </c>
      <c r="B41" s="16" t="s">
        <v>252</v>
      </c>
      <c r="C41" s="16"/>
      <c r="D41" s="16"/>
      <c r="E41" s="16"/>
      <c r="F41" s="16"/>
      <c r="G41" s="16" t="s">
        <v>245</v>
      </c>
    </row>
    <row r="42" customFormat="false" ht="15" hidden="false" customHeight="true" outlineLevel="0" collapsed="false">
      <c r="A42" s="37" t="s">
        <v>253</v>
      </c>
      <c r="B42" s="16" t="s">
        <v>254</v>
      </c>
      <c r="C42" s="16"/>
      <c r="D42" s="16"/>
      <c r="E42" s="16"/>
      <c r="F42" s="16"/>
      <c r="G42" s="20" t="s">
        <v>64</v>
      </c>
    </row>
  </sheetData>
  <mergeCells count="6"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52"/>
  </cols>
  <sheetData>
    <row r="1" customFormat="false" ht="17.15" hidden="false" customHeight="false" outlineLevel="0" collapsed="false">
      <c r="A1" s="25" t="s">
        <v>255</v>
      </c>
    </row>
    <row r="2" customFormat="false" ht="15" hidden="false" customHeight="false" outlineLevel="0" collapsed="false">
      <c r="A2" s="2" t="s">
        <v>256</v>
      </c>
    </row>
    <row r="4" customFormat="false" ht="26.85" hidden="false" customHeight="false" outlineLevel="0" collapsed="false">
      <c r="A4" s="8" t="s">
        <v>10</v>
      </c>
      <c r="B4" s="8" t="s">
        <v>257</v>
      </c>
      <c r="C4" s="8" t="s">
        <v>108</v>
      </c>
      <c r="D4" s="8" t="s">
        <v>220</v>
      </c>
      <c r="E4" s="8" t="s">
        <v>106</v>
      </c>
      <c r="F4" s="8" t="s">
        <v>258</v>
      </c>
      <c r="G4" s="8" t="s">
        <v>111</v>
      </c>
      <c r="H4" s="8" t="s">
        <v>104</v>
      </c>
      <c r="I4" s="8" t="s">
        <v>259</v>
      </c>
      <c r="J4" s="8" t="s">
        <v>112</v>
      </c>
    </row>
    <row r="5" customFormat="false" ht="26.85" hidden="false" customHeight="false" outlineLevel="0" collapsed="false">
      <c r="A5" s="16" t="s">
        <v>260</v>
      </c>
      <c r="B5" s="16" t="s">
        <v>261</v>
      </c>
      <c r="C5" s="21" t="n">
        <v>11147</v>
      </c>
      <c r="D5" s="21" t="n">
        <v>950</v>
      </c>
      <c r="E5" s="21" t="n">
        <v>15733</v>
      </c>
      <c r="F5" s="31" t="n">
        <v>12000</v>
      </c>
      <c r="G5" s="32" t="n">
        <f aca="false">C5+D5+E5+F5*總覽!$B$5</f>
        <v>30350</v>
      </c>
      <c r="H5" s="16" t="n">
        <v>3</v>
      </c>
      <c r="I5" s="20" t="s">
        <v>262</v>
      </c>
      <c r="J5" s="16" t="s">
        <v>263</v>
      </c>
    </row>
    <row r="6" customFormat="false" ht="26.85" hidden="false" customHeight="false" outlineLevel="0" collapsed="false">
      <c r="A6" s="26" t="s">
        <v>264</v>
      </c>
      <c r="B6" s="12" t="s">
        <v>265</v>
      </c>
      <c r="C6" s="28" t="n">
        <v>11999</v>
      </c>
      <c r="D6" s="28" t="n">
        <v>0</v>
      </c>
      <c r="E6" s="28" t="n">
        <v>15733</v>
      </c>
      <c r="F6" s="29" t="n">
        <v>22000</v>
      </c>
      <c r="G6" s="30" t="n">
        <f aca="false">C6+D6+E6+F6*總覽!$B$5</f>
        <v>32352</v>
      </c>
      <c r="H6" s="12" t="n">
        <v>4</v>
      </c>
      <c r="I6" s="27" t="s">
        <v>266</v>
      </c>
      <c r="J6" s="12" t="s">
        <v>267</v>
      </c>
    </row>
    <row r="7" customFormat="false" ht="15" hidden="false" customHeight="false" outlineLevel="0" collapsed="false">
      <c r="A7" s="16" t="s">
        <v>268</v>
      </c>
      <c r="B7" s="16" t="s">
        <v>269</v>
      </c>
      <c r="C7" s="21" t="n">
        <v>11995</v>
      </c>
      <c r="D7" s="21" t="n">
        <v>950</v>
      </c>
      <c r="E7" s="21" t="n">
        <v>15733</v>
      </c>
      <c r="F7" s="31" t="n">
        <v>6500</v>
      </c>
      <c r="G7" s="32" t="n">
        <f aca="false">C7+D7+E7+F7*總覽!$B$5</f>
        <v>30043</v>
      </c>
      <c r="H7" s="16" t="n">
        <v>3</v>
      </c>
      <c r="I7" s="20" t="s">
        <v>270</v>
      </c>
      <c r="J7" s="16" t="s">
        <v>271</v>
      </c>
    </row>
    <row r="8" customFormat="false" ht="15" hidden="false" customHeight="false" outlineLevel="0" collapsed="false">
      <c r="A8" s="16" t="s">
        <v>272</v>
      </c>
      <c r="B8" s="16" t="s">
        <v>273</v>
      </c>
      <c r="C8" s="21" t="n">
        <v>10890</v>
      </c>
      <c r="D8" s="21" t="n">
        <v>950</v>
      </c>
      <c r="E8" s="21" t="n">
        <v>15733</v>
      </c>
      <c r="F8" s="31" t="n">
        <v>9000</v>
      </c>
      <c r="G8" s="32" t="n">
        <f aca="false">C8+D8+E8+F8*總覽!$B$5</f>
        <v>29463</v>
      </c>
      <c r="H8" s="16" t="n">
        <v>4</v>
      </c>
      <c r="I8" s="20" t="s">
        <v>266</v>
      </c>
      <c r="J8" s="16" t="s">
        <v>274</v>
      </c>
    </row>
    <row r="9" customFormat="false" ht="15" hidden="false" customHeight="false" outlineLevel="0" collapsed="false">
      <c r="A9" s="16" t="s">
        <v>275</v>
      </c>
      <c r="B9" s="16" t="s">
        <v>265</v>
      </c>
      <c r="C9" s="21" t="n">
        <v>14987</v>
      </c>
      <c r="D9" s="21" t="n">
        <v>0</v>
      </c>
      <c r="E9" s="21" t="n">
        <v>15733</v>
      </c>
      <c r="F9" s="31" t="n">
        <v>16000</v>
      </c>
      <c r="G9" s="32" t="n">
        <f aca="false">C9+D9+E9+F9*總覽!$B$5</f>
        <v>34080</v>
      </c>
      <c r="H9" s="16" t="n">
        <v>3</v>
      </c>
      <c r="I9" s="20" t="s">
        <v>262</v>
      </c>
      <c r="J9" s="16" t="s">
        <v>276</v>
      </c>
    </row>
    <row r="10" customFormat="false" ht="15" hidden="false" customHeight="false" outlineLevel="0" collapsed="false">
      <c r="A10" s="16" t="s">
        <v>277</v>
      </c>
      <c r="B10" s="16" t="s">
        <v>278</v>
      </c>
      <c r="C10" s="21" t="n">
        <v>20549</v>
      </c>
      <c r="D10" s="21" t="n">
        <v>0</v>
      </c>
      <c r="E10" s="21" t="n">
        <v>15733</v>
      </c>
      <c r="F10" s="31" t="n">
        <v>3000</v>
      </c>
      <c r="G10" s="32" t="n">
        <f aca="false">C10+D10+E10+F10*總覽!$B$5</f>
        <v>36912</v>
      </c>
      <c r="H10" s="16" t="n">
        <v>5</v>
      </c>
      <c r="I10" s="20" t="s">
        <v>279</v>
      </c>
      <c r="J10" s="16" t="s">
        <v>280</v>
      </c>
    </row>
    <row r="12" customFormat="false" ht="16.4" hidden="false" customHeight="false" outlineLevel="0" collapsed="false">
      <c r="A12" s="33" t="s">
        <v>281</v>
      </c>
    </row>
    <row r="13" customFormat="false" ht="15" hidden="false" customHeight="false" outlineLevel="0" collapsed="false">
      <c r="A13" s="8" t="s">
        <v>11</v>
      </c>
      <c r="B13" s="8" t="s">
        <v>136</v>
      </c>
      <c r="C13" s="8"/>
      <c r="D13" s="8"/>
      <c r="E13" s="8"/>
      <c r="F13" s="8"/>
      <c r="G13" s="8"/>
      <c r="H13" s="8"/>
      <c r="I13" s="8" t="s">
        <v>243</v>
      </c>
      <c r="J13" s="8"/>
    </row>
    <row r="14" customFormat="false" ht="15" hidden="false" customHeight="true" outlineLevel="0" collapsed="false">
      <c r="A14" s="37" t="s">
        <v>139</v>
      </c>
      <c r="B14" s="16" t="s">
        <v>282</v>
      </c>
      <c r="C14" s="16"/>
      <c r="D14" s="16"/>
      <c r="E14" s="16"/>
      <c r="F14" s="16"/>
      <c r="G14" s="16"/>
      <c r="H14" s="16"/>
      <c r="I14" s="16" t="s">
        <v>249</v>
      </c>
      <c r="J14" s="16"/>
    </row>
    <row r="15" customFormat="false" ht="15" hidden="false" customHeight="true" outlineLevel="0" collapsed="false">
      <c r="A15" s="37" t="s">
        <v>154</v>
      </c>
      <c r="B15" s="16" t="s">
        <v>283</v>
      </c>
      <c r="C15" s="16"/>
      <c r="D15" s="16"/>
      <c r="E15" s="16"/>
      <c r="F15" s="16"/>
      <c r="G15" s="16"/>
      <c r="H15" s="16"/>
      <c r="I15" s="16" t="s">
        <v>284</v>
      </c>
      <c r="J15" s="16"/>
    </row>
    <row r="16" customFormat="false" ht="26.85" hidden="false" customHeight="true" outlineLevel="0" collapsed="false">
      <c r="A16" s="38" t="s">
        <v>165</v>
      </c>
      <c r="B16" s="12" t="s">
        <v>285</v>
      </c>
      <c r="C16" s="12"/>
      <c r="D16" s="12"/>
      <c r="E16" s="12"/>
      <c r="F16" s="12"/>
      <c r="G16" s="12"/>
      <c r="H16" s="12"/>
      <c r="I16" s="12" t="s">
        <v>247</v>
      </c>
      <c r="J16" s="12"/>
    </row>
    <row r="17" customFormat="false" ht="39.55" hidden="false" customHeight="true" outlineLevel="0" collapsed="false">
      <c r="A17" s="37" t="s">
        <v>173</v>
      </c>
      <c r="B17" s="16" t="s">
        <v>286</v>
      </c>
      <c r="C17" s="16"/>
      <c r="D17" s="16"/>
      <c r="E17" s="16"/>
      <c r="F17" s="16"/>
      <c r="G17" s="16"/>
      <c r="H17" s="16"/>
      <c r="I17" s="16" t="s">
        <v>287</v>
      </c>
      <c r="J17" s="16"/>
    </row>
    <row r="18" customFormat="false" ht="26.85" hidden="false" customHeight="true" outlineLevel="0" collapsed="false">
      <c r="A18" s="37" t="s">
        <v>183</v>
      </c>
      <c r="B18" s="16" t="s">
        <v>288</v>
      </c>
      <c r="C18" s="16"/>
      <c r="D18" s="16"/>
      <c r="E18" s="16"/>
      <c r="F18" s="16"/>
      <c r="G18" s="16"/>
      <c r="H18" s="16"/>
      <c r="I18" s="16" t="s">
        <v>289</v>
      </c>
      <c r="J18" s="16"/>
    </row>
    <row r="19" customFormat="false" ht="15" hidden="false" customHeight="true" outlineLevel="0" collapsed="false">
      <c r="A19" s="37" t="s">
        <v>187</v>
      </c>
      <c r="B19" s="16" t="s">
        <v>290</v>
      </c>
      <c r="C19" s="16"/>
      <c r="D19" s="16"/>
      <c r="E19" s="16"/>
      <c r="F19" s="16"/>
      <c r="G19" s="16"/>
      <c r="H19" s="16"/>
      <c r="I19" s="20" t="s">
        <v>64</v>
      </c>
      <c r="J19" s="16"/>
    </row>
    <row r="21" customFormat="false" ht="15" hidden="false" customHeight="false" outlineLevel="0" collapsed="false">
      <c r="A21" s="2" t="s">
        <v>291</v>
      </c>
    </row>
    <row r="22" customFormat="false" ht="15" hidden="false" customHeight="false" outlineLevel="0" collapsed="false">
      <c r="A22" s="2" t="s">
        <v>292</v>
      </c>
    </row>
  </sheetData>
  <mergeCells count="6">
    <mergeCell ref="B14:H14"/>
    <mergeCell ref="B15:H15"/>
    <mergeCell ref="B16:H16"/>
    <mergeCell ref="B17:H17"/>
    <mergeCell ref="B18:H18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293</v>
      </c>
    </row>
    <row r="2" customFormat="false" ht="15" hidden="false" customHeight="false" outlineLevel="0" collapsed="false">
      <c r="A2" s="2" t="s">
        <v>294</v>
      </c>
    </row>
    <row r="4" customFormat="false" ht="15" hidden="false" customHeight="false" outlineLevel="0" collapsed="false">
      <c r="A4" s="8" t="s">
        <v>11</v>
      </c>
      <c r="B4" s="8" t="s">
        <v>135</v>
      </c>
      <c r="C4" s="8" t="s">
        <v>136</v>
      </c>
      <c r="D4" s="8" t="s">
        <v>137</v>
      </c>
      <c r="E4" s="8" t="s">
        <v>200</v>
      </c>
    </row>
    <row r="5" customFormat="false" ht="15" hidden="false" customHeight="false" outlineLevel="0" collapsed="false">
      <c r="A5" s="34" t="s">
        <v>295</v>
      </c>
      <c r="B5" s="35" t="s">
        <v>296</v>
      </c>
      <c r="C5" s="36" t="s">
        <v>297</v>
      </c>
      <c r="D5" s="36" t="s">
        <v>298</v>
      </c>
      <c r="E5" s="36" t="s">
        <v>299</v>
      </c>
    </row>
    <row r="6" customFormat="false" ht="15" hidden="false" customHeight="false" outlineLevel="0" collapsed="false">
      <c r="A6" s="16"/>
      <c r="B6" s="20" t="s">
        <v>300</v>
      </c>
      <c r="C6" s="16" t="s">
        <v>301</v>
      </c>
      <c r="D6" s="16" t="s">
        <v>302</v>
      </c>
      <c r="E6" s="16" t="s">
        <v>303</v>
      </c>
    </row>
    <row r="7" customFormat="false" ht="15" hidden="false" customHeight="false" outlineLevel="0" collapsed="false">
      <c r="A7" s="16"/>
      <c r="B7" s="20" t="s">
        <v>147</v>
      </c>
      <c r="C7" s="16" t="s">
        <v>304</v>
      </c>
      <c r="D7" s="16"/>
      <c r="E7" s="16" t="s">
        <v>305</v>
      </c>
    </row>
    <row r="8" customFormat="false" ht="15" hidden="false" customHeight="false" outlineLevel="0" collapsed="false">
      <c r="A8" s="16"/>
      <c r="B8" s="20" t="s">
        <v>306</v>
      </c>
      <c r="C8" s="16" t="s">
        <v>307</v>
      </c>
      <c r="D8" s="16" t="s">
        <v>308</v>
      </c>
      <c r="E8" s="16" t="s">
        <v>309</v>
      </c>
    </row>
    <row r="9" customFormat="false" ht="15" hidden="false" customHeight="false" outlineLevel="0" collapsed="false">
      <c r="A9" s="16"/>
      <c r="B9" s="20" t="s">
        <v>310</v>
      </c>
      <c r="C9" s="16" t="s">
        <v>311</v>
      </c>
      <c r="D9" s="16"/>
      <c r="E9" s="16" t="s">
        <v>312</v>
      </c>
    </row>
    <row r="10" customFormat="false" ht="15" hidden="false" customHeight="false" outlineLevel="0" collapsed="false">
      <c r="A10" s="16"/>
      <c r="B10" s="20" t="s">
        <v>313</v>
      </c>
      <c r="C10" s="16" t="s">
        <v>314</v>
      </c>
      <c r="D10" s="16" t="s">
        <v>315</v>
      </c>
      <c r="E10" s="16" t="s">
        <v>316</v>
      </c>
    </row>
    <row r="11" customFormat="false" ht="15" hidden="false" customHeight="false" outlineLevel="0" collapsed="false">
      <c r="A11" s="16"/>
      <c r="B11" s="20" t="s">
        <v>317</v>
      </c>
      <c r="C11" s="16" t="s">
        <v>318</v>
      </c>
      <c r="D11" s="16"/>
      <c r="E11" s="16" t="s">
        <v>319</v>
      </c>
    </row>
    <row r="12" customFormat="false" ht="26.85" hidden="false" customHeight="false" outlineLevel="0" collapsed="false">
      <c r="A12" s="34" t="s">
        <v>139</v>
      </c>
      <c r="B12" s="35" t="s">
        <v>155</v>
      </c>
      <c r="C12" s="36" t="s">
        <v>320</v>
      </c>
      <c r="D12" s="35" t="s">
        <v>321</v>
      </c>
      <c r="E12" s="36" t="s">
        <v>322</v>
      </c>
    </row>
    <row r="13" customFormat="false" ht="15" hidden="false" customHeight="false" outlineLevel="0" collapsed="false">
      <c r="A13" s="16"/>
      <c r="B13" s="20" t="s">
        <v>323</v>
      </c>
      <c r="C13" s="16" t="s">
        <v>324</v>
      </c>
      <c r="D13" s="16"/>
      <c r="E13" s="16" t="s">
        <v>325</v>
      </c>
    </row>
    <row r="14" customFormat="false" ht="15" hidden="false" customHeight="false" outlineLevel="0" collapsed="false">
      <c r="A14" s="16"/>
      <c r="B14" s="20" t="s">
        <v>326</v>
      </c>
      <c r="C14" s="16" t="s">
        <v>327</v>
      </c>
      <c r="D14" s="16"/>
      <c r="E14" s="16"/>
    </row>
    <row r="15" customFormat="false" ht="15" hidden="false" customHeight="false" outlineLevel="0" collapsed="false">
      <c r="A15" s="16"/>
      <c r="B15" s="20" t="s">
        <v>328</v>
      </c>
      <c r="C15" s="16" t="s">
        <v>329</v>
      </c>
      <c r="D15" s="20" t="s">
        <v>330</v>
      </c>
      <c r="E15" s="16"/>
    </row>
    <row r="16" customFormat="false" ht="15" hidden="false" customHeight="false" outlineLevel="0" collapsed="false">
      <c r="A16" s="16"/>
      <c r="B16" s="20" t="s">
        <v>310</v>
      </c>
      <c r="C16" s="16" t="s">
        <v>151</v>
      </c>
      <c r="D16" s="16" t="s">
        <v>152</v>
      </c>
      <c r="E16" s="16" t="s">
        <v>331</v>
      </c>
    </row>
    <row r="17" customFormat="false" ht="15" hidden="false" customHeight="false" outlineLevel="0" collapsed="false">
      <c r="A17" s="16"/>
      <c r="B17" s="20" t="s">
        <v>180</v>
      </c>
      <c r="C17" s="16" t="s">
        <v>332</v>
      </c>
      <c r="D17" s="16"/>
      <c r="E17" s="16" t="s">
        <v>333</v>
      </c>
    </row>
    <row r="18" customFormat="false" ht="15" hidden="false" customHeight="false" outlineLevel="0" collapsed="false">
      <c r="A18" s="16"/>
      <c r="B18" s="20" t="s">
        <v>317</v>
      </c>
      <c r="C18" s="16" t="s">
        <v>334</v>
      </c>
      <c r="D18" s="16" t="s">
        <v>335</v>
      </c>
      <c r="E18" s="16" t="s">
        <v>336</v>
      </c>
    </row>
    <row r="19" customFormat="false" ht="15" hidden="false" customHeight="false" outlineLevel="0" collapsed="false">
      <c r="A19" s="34" t="s">
        <v>154</v>
      </c>
      <c r="B19" s="35" t="s">
        <v>155</v>
      </c>
      <c r="C19" s="36" t="s">
        <v>337</v>
      </c>
      <c r="D19" s="36" t="s">
        <v>338</v>
      </c>
      <c r="E19" s="36" t="s">
        <v>339</v>
      </c>
    </row>
    <row r="20" customFormat="false" ht="15" hidden="false" customHeight="false" outlineLevel="0" collapsed="false">
      <c r="A20" s="16"/>
      <c r="B20" s="20" t="s">
        <v>326</v>
      </c>
      <c r="C20" s="16" t="s">
        <v>340</v>
      </c>
      <c r="D20" s="16"/>
      <c r="E20" s="16"/>
    </row>
    <row r="21" customFormat="false" ht="15" hidden="false" customHeight="false" outlineLevel="0" collapsed="false">
      <c r="A21" s="16"/>
      <c r="B21" s="20" t="s">
        <v>341</v>
      </c>
      <c r="C21" s="16" t="s">
        <v>342</v>
      </c>
      <c r="D21" s="16" t="s">
        <v>152</v>
      </c>
      <c r="E21" s="16"/>
    </row>
    <row r="22" customFormat="false" ht="15" hidden="false" customHeight="false" outlineLevel="0" collapsed="false">
      <c r="A22" s="16"/>
      <c r="B22" s="20" t="s">
        <v>313</v>
      </c>
      <c r="C22" s="16" t="s">
        <v>343</v>
      </c>
      <c r="D22" s="16" t="s">
        <v>344</v>
      </c>
      <c r="E22" s="16" t="s">
        <v>345</v>
      </c>
    </row>
    <row r="23" customFormat="false" ht="15" hidden="false" customHeight="false" outlineLevel="0" collapsed="false">
      <c r="A23" s="16"/>
      <c r="B23" s="20" t="s">
        <v>317</v>
      </c>
      <c r="C23" s="16" t="s">
        <v>346</v>
      </c>
      <c r="D23" s="16"/>
      <c r="E23" s="16" t="s">
        <v>164</v>
      </c>
    </row>
    <row r="24" customFormat="false" ht="15" hidden="false" customHeight="false" outlineLevel="0" collapsed="false">
      <c r="A24" s="34" t="s">
        <v>165</v>
      </c>
      <c r="B24" s="35" t="s">
        <v>347</v>
      </c>
      <c r="C24" s="36" t="s">
        <v>348</v>
      </c>
      <c r="D24" s="36"/>
      <c r="E24" s="36" t="s">
        <v>349</v>
      </c>
    </row>
    <row r="25" customFormat="false" ht="26.85" hidden="false" customHeight="false" outlineLevel="0" collapsed="false">
      <c r="A25" s="16"/>
      <c r="B25" s="20" t="s">
        <v>350</v>
      </c>
      <c r="C25" s="16" t="s">
        <v>167</v>
      </c>
      <c r="D25" s="20" t="s">
        <v>351</v>
      </c>
      <c r="E25" s="16"/>
    </row>
    <row r="26" customFormat="false" ht="15" hidden="false" customHeight="false" outlineLevel="0" collapsed="false">
      <c r="A26" s="16"/>
      <c r="B26" s="20" t="s">
        <v>341</v>
      </c>
      <c r="C26" s="16" t="s">
        <v>352</v>
      </c>
      <c r="D26" s="16" t="s">
        <v>353</v>
      </c>
      <c r="E26" s="16" t="s">
        <v>354</v>
      </c>
    </row>
    <row r="27" customFormat="false" ht="15" hidden="false" customHeight="false" outlineLevel="0" collapsed="false">
      <c r="A27" s="12"/>
      <c r="B27" s="27" t="s">
        <v>313</v>
      </c>
      <c r="C27" s="12" t="s">
        <v>355</v>
      </c>
      <c r="D27" s="12"/>
      <c r="E27" s="12" t="s">
        <v>356</v>
      </c>
    </row>
    <row r="28" customFormat="false" ht="15" hidden="false" customHeight="false" outlineLevel="0" collapsed="false">
      <c r="A28" s="16"/>
      <c r="B28" s="20" t="s">
        <v>357</v>
      </c>
      <c r="C28" s="16" t="s">
        <v>358</v>
      </c>
      <c r="D28" s="16"/>
      <c r="E28" s="16" t="s">
        <v>359</v>
      </c>
    </row>
    <row r="29" customFormat="false" ht="15" hidden="false" customHeight="false" outlineLevel="0" collapsed="false">
      <c r="A29" s="16"/>
      <c r="B29" s="20" t="s">
        <v>360</v>
      </c>
      <c r="C29" s="16" t="s">
        <v>361</v>
      </c>
      <c r="D29" s="16"/>
      <c r="E29" s="16"/>
    </row>
    <row r="30" customFormat="false" ht="15" hidden="false" customHeight="false" outlineLevel="0" collapsed="false">
      <c r="A30" s="16"/>
      <c r="B30" s="20" t="s">
        <v>362</v>
      </c>
      <c r="C30" s="16" t="s">
        <v>363</v>
      </c>
      <c r="D30" s="16"/>
      <c r="E30" s="16" t="s">
        <v>364</v>
      </c>
    </row>
    <row r="31" customFormat="false" ht="15" hidden="false" customHeight="false" outlineLevel="0" collapsed="false">
      <c r="A31" s="34" t="s">
        <v>173</v>
      </c>
      <c r="B31" s="35" t="s">
        <v>174</v>
      </c>
      <c r="C31" s="36" t="s">
        <v>175</v>
      </c>
      <c r="D31" s="36"/>
      <c r="E31" s="36" t="s">
        <v>365</v>
      </c>
    </row>
    <row r="32" customFormat="false" ht="15" hidden="false" customHeight="false" outlineLevel="0" collapsed="false">
      <c r="A32" s="16"/>
      <c r="B32" s="20" t="s">
        <v>366</v>
      </c>
      <c r="C32" s="16" t="s">
        <v>367</v>
      </c>
      <c r="D32" s="16"/>
      <c r="E32" s="16"/>
    </row>
    <row r="33" customFormat="false" ht="15" hidden="false" customHeight="false" outlineLevel="0" collapsed="false">
      <c r="A33" s="16"/>
      <c r="B33" s="20" t="s">
        <v>368</v>
      </c>
      <c r="C33" s="16" t="s">
        <v>369</v>
      </c>
      <c r="D33" s="16" t="s">
        <v>370</v>
      </c>
      <c r="E33" s="16"/>
    </row>
    <row r="34" customFormat="false" ht="25.35" hidden="false" customHeight="false" outlineLevel="0" collapsed="false">
      <c r="A34" s="16"/>
      <c r="B34" s="20" t="s">
        <v>371</v>
      </c>
      <c r="C34" s="16" t="s">
        <v>372</v>
      </c>
      <c r="D34" s="20" t="s">
        <v>373</v>
      </c>
      <c r="E34" s="16" t="s">
        <v>374</v>
      </c>
    </row>
    <row r="35" customFormat="false" ht="15" hidden="false" customHeight="false" outlineLevel="0" collapsed="false">
      <c r="A35" s="16"/>
      <c r="B35" s="20" t="s">
        <v>310</v>
      </c>
      <c r="C35" s="16" t="s">
        <v>375</v>
      </c>
      <c r="D35" s="16"/>
      <c r="E35" s="16"/>
    </row>
    <row r="36" customFormat="false" ht="15" hidden="false" customHeight="false" outlineLevel="0" collapsed="false">
      <c r="A36" s="16"/>
      <c r="B36" s="20" t="s">
        <v>313</v>
      </c>
      <c r="C36" s="16" t="s">
        <v>376</v>
      </c>
      <c r="D36" s="16"/>
      <c r="E36" s="16" t="s">
        <v>377</v>
      </c>
    </row>
    <row r="37" customFormat="false" ht="15" hidden="false" customHeight="false" outlineLevel="0" collapsed="false">
      <c r="A37" s="16"/>
      <c r="B37" s="20" t="s">
        <v>360</v>
      </c>
      <c r="C37" s="16" t="s">
        <v>378</v>
      </c>
      <c r="D37" s="16"/>
      <c r="E37" s="16" t="s">
        <v>379</v>
      </c>
    </row>
    <row r="38" customFormat="false" ht="15" hidden="false" customHeight="false" outlineLevel="0" collapsed="false">
      <c r="A38" s="34" t="s">
        <v>183</v>
      </c>
      <c r="B38" s="35" t="s">
        <v>366</v>
      </c>
      <c r="C38" s="36" t="s">
        <v>380</v>
      </c>
      <c r="D38" s="36"/>
      <c r="E38" s="36"/>
    </row>
    <row r="39" customFormat="false" ht="15" hidden="false" customHeight="false" outlineLevel="0" collapsed="false">
      <c r="A39" s="16"/>
      <c r="B39" s="20" t="s">
        <v>155</v>
      </c>
      <c r="C39" s="16" t="s">
        <v>381</v>
      </c>
      <c r="D39" s="20" t="s">
        <v>382</v>
      </c>
      <c r="E39" s="16"/>
    </row>
    <row r="40" customFormat="false" ht="15" hidden="false" customHeight="false" outlineLevel="0" collapsed="false">
      <c r="A40" s="16"/>
      <c r="B40" s="20" t="s">
        <v>383</v>
      </c>
      <c r="C40" s="16" t="s">
        <v>384</v>
      </c>
      <c r="D40" s="16" t="s">
        <v>385</v>
      </c>
      <c r="E40" s="16"/>
    </row>
    <row r="41" customFormat="false" ht="15" hidden="false" customHeight="false" outlineLevel="0" collapsed="false">
      <c r="A41" s="16"/>
      <c r="B41" s="20" t="s">
        <v>166</v>
      </c>
      <c r="C41" s="16" t="s">
        <v>386</v>
      </c>
      <c r="D41" s="16" t="s">
        <v>387</v>
      </c>
      <c r="E41" s="16"/>
    </row>
    <row r="42" customFormat="false" ht="15" hidden="false" customHeight="false" outlineLevel="0" collapsed="false">
      <c r="A42" s="16"/>
      <c r="B42" s="20" t="s">
        <v>326</v>
      </c>
      <c r="C42" s="16" t="s">
        <v>388</v>
      </c>
      <c r="D42" s="16"/>
      <c r="E42" s="16" t="s">
        <v>389</v>
      </c>
    </row>
    <row r="43" customFormat="false" ht="15" hidden="false" customHeight="false" outlineLevel="0" collapsed="false">
      <c r="A43" s="16"/>
      <c r="B43" s="20" t="s">
        <v>341</v>
      </c>
      <c r="C43" s="16" t="s">
        <v>390</v>
      </c>
      <c r="D43" s="20" t="s">
        <v>382</v>
      </c>
      <c r="E43" s="16"/>
    </row>
    <row r="44" customFormat="false" ht="15" hidden="false" customHeight="false" outlineLevel="0" collapsed="false">
      <c r="A44" s="16"/>
      <c r="B44" s="20" t="s">
        <v>391</v>
      </c>
      <c r="C44" s="16" t="s">
        <v>392</v>
      </c>
      <c r="D44" s="16" t="s">
        <v>308</v>
      </c>
      <c r="E44" s="16" t="s">
        <v>393</v>
      </c>
    </row>
    <row r="45" customFormat="false" ht="15" hidden="false" customHeight="false" outlineLevel="0" collapsed="false">
      <c r="A45" s="16"/>
      <c r="B45" s="20" t="s">
        <v>394</v>
      </c>
      <c r="C45" s="16" t="s">
        <v>395</v>
      </c>
      <c r="D45" s="16"/>
      <c r="E45" s="16" t="s">
        <v>396</v>
      </c>
    </row>
    <row r="46" customFormat="false" ht="26.85" hidden="false" customHeight="false" outlineLevel="0" collapsed="false">
      <c r="A46" s="16"/>
      <c r="B46" s="20" t="s">
        <v>397</v>
      </c>
      <c r="C46" s="16" t="s">
        <v>398</v>
      </c>
      <c r="D46" s="16" t="s">
        <v>399</v>
      </c>
      <c r="E46" s="16" t="s">
        <v>400</v>
      </c>
    </row>
    <row r="48" customFormat="false" ht="15" hidden="false" customHeight="false" outlineLevel="0" collapsed="false">
      <c r="A48" s="2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402</v>
      </c>
    </row>
    <row r="2" customFormat="false" ht="15" hidden="false" customHeight="false" outlineLevel="0" collapsed="false">
      <c r="A2" s="2" t="s">
        <v>403</v>
      </c>
    </row>
    <row r="4" customFormat="false" ht="26.85" hidden="false" customHeight="false" outlineLevel="0" collapsed="false">
      <c r="A4" s="8" t="s">
        <v>404</v>
      </c>
      <c r="B4" s="8" t="s">
        <v>29</v>
      </c>
      <c r="C4" s="8" t="s">
        <v>30</v>
      </c>
      <c r="D4" s="8" t="s">
        <v>405</v>
      </c>
      <c r="E4" s="8" t="s">
        <v>406</v>
      </c>
      <c r="F4" s="8" t="s">
        <v>407</v>
      </c>
      <c r="G4" s="8" t="s">
        <v>408</v>
      </c>
      <c r="H4" s="8" t="s">
        <v>409</v>
      </c>
      <c r="I4" s="8" t="s">
        <v>410</v>
      </c>
      <c r="J4" s="8" t="s">
        <v>411</v>
      </c>
      <c r="K4" s="8" t="s">
        <v>412</v>
      </c>
      <c r="L4" s="8" t="s">
        <v>413</v>
      </c>
      <c r="M4" s="8" t="s">
        <v>414</v>
      </c>
      <c r="N4" s="8" t="s">
        <v>415</v>
      </c>
      <c r="O4" s="8" t="s">
        <v>416</v>
      </c>
      <c r="P4" s="8" t="s">
        <v>417</v>
      </c>
    </row>
    <row r="5" customFormat="false" ht="26.85" hidden="false" customHeight="false" outlineLevel="0" collapsed="false">
      <c r="A5" s="20" t="s">
        <v>418</v>
      </c>
      <c r="B5" s="16" t="s">
        <v>419</v>
      </c>
      <c r="C5" s="16" t="s">
        <v>44</v>
      </c>
      <c r="D5" s="20" t="s">
        <v>420</v>
      </c>
      <c r="E5" s="20" t="s">
        <v>421</v>
      </c>
      <c r="F5" s="20" t="s">
        <v>422</v>
      </c>
      <c r="G5" s="16" t="s">
        <v>423</v>
      </c>
      <c r="H5" s="21" t="n">
        <v>4743</v>
      </c>
      <c r="I5" s="21" t="n">
        <v>9676</v>
      </c>
      <c r="J5" s="39"/>
      <c r="K5" s="39"/>
      <c r="L5" s="32" t="n">
        <f aca="false">IF(J5&gt;0,J5,H5)</f>
        <v>4743</v>
      </c>
      <c r="M5" s="32" t="n">
        <f aca="false">IF(K5&gt;0,K5,I5)</f>
        <v>9676</v>
      </c>
      <c r="N5" s="16" t="s">
        <v>424</v>
      </c>
      <c r="O5" s="21" t="n">
        <v>950</v>
      </c>
      <c r="P5" s="16" t="s">
        <v>425</v>
      </c>
    </row>
    <row r="6" customFormat="false" ht="26.85" hidden="false" customHeight="false" outlineLevel="0" collapsed="false">
      <c r="A6" s="20" t="s">
        <v>426</v>
      </c>
      <c r="B6" s="16" t="s">
        <v>419</v>
      </c>
      <c r="C6" s="16" t="s">
        <v>37</v>
      </c>
      <c r="D6" s="20" t="s">
        <v>427</v>
      </c>
      <c r="E6" s="20" t="s">
        <v>428</v>
      </c>
      <c r="F6" s="20" t="s">
        <v>429</v>
      </c>
      <c r="G6" s="16" t="s">
        <v>430</v>
      </c>
      <c r="H6" s="21" t="n">
        <v>9845</v>
      </c>
      <c r="I6" s="21" t="n">
        <v>17878</v>
      </c>
      <c r="J6" s="39"/>
      <c r="K6" s="39"/>
      <c r="L6" s="32" t="n">
        <f aca="false">IF(J6&gt;0,J6,H6)</f>
        <v>9845</v>
      </c>
      <c r="M6" s="32" t="n">
        <f aca="false">IF(K6&gt;0,K6,I6)</f>
        <v>17878</v>
      </c>
      <c r="N6" s="16" t="s">
        <v>431</v>
      </c>
      <c r="O6" s="21" t="n">
        <v>0</v>
      </c>
      <c r="P6" s="16" t="s">
        <v>432</v>
      </c>
    </row>
    <row r="7" customFormat="false" ht="15" hidden="false" customHeight="false" outlineLevel="0" collapsed="false">
      <c r="A7" s="20" t="s">
        <v>433</v>
      </c>
      <c r="B7" s="16" t="s">
        <v>419</v>
      </c>
      <c r="C7" s="16" t="s">
        <v>41</v>
      </c>
      <c r="D7" s="20" t="s">
        <v>434</v>
      </c>
      <c r="E7" s="20" t="s">
        <v>435</v>
      </c>
      <c r="F7" s="20" t="s">
        <v>436</v>
      </c>
      <c r="G7" s="16" t="s">
        <v>437</v>
      </c>
      <c r="H7" s="21" t="n">
        <v>9720</v>
      </c>
      <c r="I7" s="21" t="n">
        <v>19586</v>
      </c>
      <c r="J7" s="39"/>
      <c r="K7" s="39"/>
      <c r="L7" s="32" t="n">
        <f aca="false">IF(J7&gt;0,J7,H7)</f>
        <v>9720</v>
      </c>
      <c r="M7" s="32" t="n">
        <f aca="false">IF(K7&gt;0,K7,I7)</f>
        <v>19586</v>
      </c>
      <c r="N7" s="16" t="s">
        <v>431</v>
      </c>
      <c r="O7" s="21" t="n">
        <v>0</v>
      </c>
      <c r="P7" s="16" t="s">
        <v>438</v>
      </c>
    </row>
    <row r="8" customFormat="false" ht="26.85" hidden="false" customHeight="false" outlineLevel="0" collapsed="false">
      <c r="A8" s="20" t="s">
        <v>439</v>
      </c>
      <c r="B8" s="16" t="s">
        <v>440</v>
      </c>
      <c r="C8" s="16" t="s">
        <v>37</v>
      </c>
      <c r="D8" s="20" t="s">
        <v>441</v>
      </c>
      <c r="E8" s="20" t="s">
        <v>442</v>
      </c>
      <c r="F8" s="16" t="s">
        <v>443</v>
      </c>
      <c r="G8" s="16" t="s">
        <v>437</v>
      </c>
      <c r="H8" s="21" t="n">
        <v>10361</v>
      </c>
      <c r="I8" s="21" t="n">
        <v>16526</v>
      </c>
      <c r="J8" s="39"/>
      <c r="K8" s="39"/>
      <c r="L8" s="32" t="n">
        <f aca="false">IF(J8&gt;0,J8,H8)</f>
        <v>10361</v>
      </c>
      <c r="M8" s="32" t="n">
        <f aca="false">IF(K8&gt;0,K8,I8)</f>
        <v>16526</v>
      </c>
      <c r="N8" s="16" t="s">
        <v>431</v>
      </c>
      <c r="O8" s="21" t="n">
        <v>0</v>
      </c>
      <c r="P8" s="16" t="s">
        <v>444</v>
      </c>
    </row>
    <row r="9" customFormat="false" ht="26.85" hidden="false" customHeight="false" outlineLevel="0" collapsed="false">
      <c r="A9" s="20" t="s">
        <v>445</v>
      </c>
      <c r="B9" s="16" t="s">
        <v>440</v>
      </c>
      <c r="C9" s="16" t="s">
        <v>446</v>
      </c>
      <c r="D9" s="20" t="s">
        <v>447</v>
      </c>
      <c r="E9" s="20" t="s">
        <v>448</v>
      </c>
      <c r="F9" s="16" t="s">
        <v>443</v>
      </c>
      <c r="G9" s="16" t="s">
        <v>437</v>
      </c>
      <c r="H9" s="21" t="n">
        <v>10361</v>
      </c>
      <c r="I9" s="21" t="n">
        <v>16526</v>
      </c>
      <c r="J9" s="39"/>
      <c r="K9" s="39"/>
      <c r="L9" s="32" t="n">
        <f aca="false">IF(J9&gt;0,J9,H9)</f>
        <v>10361</v>
      </c>
      <c r="M9" s="32" t="n">
        <f aca="false">IF(K9&gt;0,K9,I9)</f>
        <v>16526</v>
      </c>
      <c r="N9" s="16" t="s">
        <v>431</v>
      </c>
      <c r="O9" s="21" t="n">
        <v>0</v>
      </c>
      <c r="P9" s="16" t="s">
        <v>449</v>
      </c>
    </row>
    <row r="10" customFormat="false" ht="26.85" hidden="false" customHeight="false" outlineLevel="0" collapsed="false">
      <c r="A10" s="20" t="s">
        <v>450</v>
      </c>
      <c r="B10" s="16" t="s">
        <v>440</v>
      </c>
      <c r="C10" s="16" t="s">
        <v>451</v>
      </c>
      <c r="D10" s="20" t="s">
        <v>452</v>
      </c>
      <c r="E10" s="20" t="s">
        <v>453</v>
      </c>
      <c r="F10" s="16" t="s">
        <v>443</v>
      </c>
      <c r="G10" s="16" t="s">
        <v>437</v>
      </c>
      <c r="H10" s="21" t="n">
        <v>10361</v>
      </c>
      <c r="I10" s="21" t="n">
        <v>16526</v>
      </c>
      <c r="J10" s="39"/>
      <c r="K10" s="39"/>
      <c r="L10" s="32" t="n">
        <f aca="false">IF(J10&gt;0,J10,H10)</f>
        <v>10361</v>
      </c>
      <c r="M10" s="32" t="n">
        <f aca="false">IF(K10&gt;0,K10,I10)</f>
        <v>16526</v>
      </c>
      <c r="N10" s="16" t="s">
        <v>431</v>
      </c>
      <c r="O10" s="21" t="n">
        <v>0</v>
      </c>
      <c r="P10" s="16" t="s">
        <v>449</v>
      </c>
    </row>
    <row r="11" customFormat="false" ht="26.85" hidden="false" customHeight="false" outlineLevel="0" collapsed="false">
      <c r="A11" s="20" t="s">
        <v>454</v>
      </c>
      <c r="B11" s="16" t="s">
        <v>440</v>
      </c>
      <c r="C11" s="16" t="s">
        <v>455</v>
      </c>
      <c r="D11" s="20" t="s">
        <v>456</v>
      </c>
      <c r="E11" s="20" t="s">
        <v>457</v>
      </c>
      <c r="F11" s="16" t="s">
        <v>443</v>
      </c>
      <c r="G11" s="16" t="s">
        <v>437</v>
      </c>
      <c r="H11" s="21" t="n">
        <v>10361</v>
      </c>
      <c r="I11" s="21" t="n">
        <v>16526</v>
      </c>
      <c r="J11" s="39"/>
      <c r="K11" s="39"/>
      <c r="L11" s="32" t="n">
        <f aca="false">IF(J11&gt;0,J11,H11)</f>
        <v>10361</v>
      </c>
      <c r="M11" s="32" t="n">
        <f aca="false">IF(K11&gt;0,K11,I11)</f>
        <v>16526</v>
      </c>
      <c r="N11" s="16" t="s">
        <v>431</v>
      </c>
      <c r="O11" s="21" t="n">
        <v>0</v>
      </c>
      <c r="P11" s="16" t="s">
        <v>449</v>
      </c>
    </row>
    <row r="12" customFormat="false" ht="26.85" hidden="false" customHeight="false" outlineLevel="0" collapsed="false">
      <c r="A12" s="20" t="s">
        <v>458</v>
      </c>
      <c r="B12" s="16" t="s">
        <v>459</v>
      </c>
      <c r="C12" s="16" t="s">
        <v>93</v>
      </c>
      <c r="D12" s="20" t="s">
        <v>460</v>
      </c>
      <c r="E12" s="16" t="s">
        <v>461</v>
      </c>
      <c r="F12" s="16" t="s">
        <v>461</v>
      </c>
      <c r="G12" s="16" t="s">
        <v>437</v>
      </c>
      <c r="H12" s="21" t="n">
        <v>5386</v>
      </c>
      <c r="I12" s="32" t="n">
        <f aca="false">H12*2</f>
        <v>10772</v>
      </c>
      <c r="J12" s="39"/>
      <c r="K12" s="39"/>
      <c r="L12" s="32" t="n">
        <f aca="false">IF(J12&gt;0,J12,H12)</f>
        <v>5386</v>
      </c>
      <c r="M12" s="32" t="n">
        <f aca="false">IF(K12&gt;0,K12,I12)</f>
        <v>10772</v>
      </c>
      <c r="N12" s="16" t="s">
        <v>424</v>
      </c>
      <c r="O12" s="21" t="n">
        <v>1000</v>
      </c>
      <c r="P12" s="16" t="s">
        <v>462</v>
      </c>
    </row>
    <row r="13" customFormat="false" ht="15" hidden="false" customHeight="false" outlineLevel="0" collapsed="false">
      <c r="A13" s="20" t="s">
        <v>463</v>
      </c>
      <c r="B13" s="16" t="s">
        <v>464</v>
      </c>
      <c r="C13" s="16" t="s">
        <v>465</v>
      </c>
      <c r="D13" s="20" t="s">
        <v>466</v>
      </c>
      <c r="E13" s="16" t="s">
        <v>461</v>
      </c>
      <c r="F13" s="16" t="s">
        <v>461</v>
      </c>
      <c r="G13" s="16" t="s">
        <v>437</v>
      </c>
      <c r="H13" s="21" t="n">
        <v>3748</v>
      </c>
      <c r="I13" s="32" t="n">
        <f aca="false">H13*2</f>
        <v>7496</v>
      </c>
      <c r="J13" s="39"/>
      <c r="K13" s="39"/>
      <c r="L13" s="32" t="n">
        <f aca="false">IF(J13&gt;0,J13,H13)</f>
        <v>3748</v>
      </c>
      <c r="M13" s="32" t="n">
        <f aca="false">IF(K13&gt;0,K13,I13)</f>
        <v>7496</v>
      </c>
      <c r="N13" s="16" t="s">
        <v>424</v>
      </c>
      <c r="O13" s="21" t="n">
        <v>1000</v>
      </c>
      <c r="P13" s="16" t="s">
        <v>467</v>
      </c>
    </row>
    <row r="14" customFormat="false" ht="15" hidden="false" customHeight="false" outlineLevel="0" collapsed="false">
      <c r="A14" s="20" t="s">
        <v>468</v>
      </c>
      <c r="B14" s="16" t="s">
        <v>459</v>
      </c>
      <c r="C14" s="16" t="s">
        <v>44</v>
      </c>
      <c r="D14" s="20" t="s">
        <v>469</v>
      </c>
      <c r="E14" s="16" t="s">
        <v>461</v>
      </c>
      <c r="F14" s="16" t="s">
        <v>461</v>
      </c>
      <c r="G14" s="16" t="s">
        <v>437</v>
      </c>
      <c r="H14" s="21" t="n">
        <v>6702</v>
      </c>
      <c r="I14" s="32" t="n">
        <f aca="false">H14*2</f>
        <v>13404</v>
      </c>
      <c r="J14" s="39"/>
      <c r="K14" s="39"/>
      <c r="L14" s="32" t="n">
        <f aca="false">IF(J14&gt;0,J14,H14)</f>
        <v>6702</v>
      </c>
      <c r="M14" s="32" t="n">
        <f aca="false">IF(K14&gt;0,K14,I14)</f>
        <v>13404</v>
      </c>
      <c r="N14" s="16" t="s">
        <v>424</v>
      </c>
      <c r="O14" s="21" t="n">
        <v>950</v>
      </c>
      <c r="P14" s="16" t="s">
        <v>470</v>
      </c>
    </row>
    <row r="16" customFormat="false" ht="15" hidden="false" customHeight="false" outlineLevel="0" collapsed="false">
      <c r="A16" s="2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472</v>
      </c>
    </row>
    <row r="2" customFormat="false" ht="15" hidden="false" customHeight="false" outlineLevel="0" collapsed="false">
      <c r="A2" s="2" t="s">
        <v>473</v>
      </c>
    </row>
    <row r="4" customFormat="false" ht="26.85" hidden="false" customHeight="false" outlineLevel="0" collapsed="false">
      <c r="A4" s="8" t="s">
        <v>474</v>
      </c>
      <c r="B4" s="8" t="s">
        <v>10</v>
      </c>
      <c r="C4" s="8" t="s">
        <v>11</v>
      </c>
      <c r="D4" s="8" t="s">
        <v>12</v>
      </c>
      <c r="E4" s="8" t="s">
        <v>105</v>
      </c>
      <c r="F4" s="8" t="s">
        <v>107</v>
      </c>
      <c r="G4" s="8" t="s">
        <v>475</v>
      </c>
      <c r="H4" s="8" t="s">
        <v>220</v>
      </c>
      <c r="I4" s="8" t="s">
        <v>476</v>
      </c>
      <c r="J4" s="8" t="s">
        <v>477</v>
      </c>
      <c r="K4" s="8" t="s">
        <v>478</v>
      </c>
      <c r="L4" s="8" t="s">
        <v>479</v>
      </c>
      <c r="M4" s="8" t="s">
        <v>222</v>
      </c>
    </row>
    <row r="5" customFormat="false" ht="39.55" hidden="false" customHeight="false" outlineLevel="0" collapsed="false">
      <c r="A5" s="27" t="s">
        <v>480</v>
      </c>
      <c r="B5" s="26" t="s">
        <v>481</v>
      </c>
      <c r="C5" s="27" t="s">
        <v>482</v>
      </c>
      <c r="D5" s="40" t="n">
        <v>4</v>
      </c>
      <c r="E5" s="27" t="s">
        <v>483</v>
      </c>
      <c r="F5" s="27" t="s">
        <v>484</v>
      </c>
      <c r="G5" s="11" t="n">
        <f aca="false">機票價格!L6+機票價格!L5</f>
        <v>14588</v>
      </c>
      <c r="H5" s="11" t="n">
        <f aca="false">機票價格!O5</f>
        <v>950</v>
      </c>
      <c r="I5" s="29" t="n">
        <v>0</v>
      </c>
      <c r="J5" s="30" t="n">
        <f aca="false">I5*總覽!$B$5</f>
        <v>0</v>
      </c>
      <c r="K5" s="30" t="n">
        <f aca="false">G5+H5+J5</f>
        <v>15538</v>
      </c>
      <c r="L5" s="27" t="s">
        <v>485</v>
      </c>
      <c r="M5" s="12" t="s">
        <v>486</v>
      </c>
    </row>
    <row r="6" customFormat="false" ht="26.85" hidden="false" customHeight="false" outlineLevel="0" collapsed="false">
      <c r="A6" s="20" t="s">
        <v>487</v>
      </c>
      <c r="B6" s="16" t="s">
        <v>488</v>
      </c>
      <c r="C6" s="20" t="s">
        <v>482</v>
      </c>
      <c r="D6" s="41" t="n">
        <v>4</v>
      </c>
      <c r="E6" s="20" t="s">
        <v>489</v>
      </c>
      <c r="F6" s="20" t="s">
        <v>490</v>
      </c>
      <c r="G6" s="15" t="n">
        <f aca="false">機票價格!M5</f>
        <v>9676</v>
      </c>
      <c r="H6" s="15" t="n">
        <f aca="false">2*機票價格!O5</f>
        <v>1900</v>
      </c>
      <c r="I6" s="31" t="n">
        <v>0</v>
      </c>
      <c r="J6" s="32" t="n">
        <f aca="false">I6*總覽!$B$5</f>
        <v>0</v>
      </c>
      <c r="K6" s="32" t="n">
        <f aca="false">G6+H6+J6</f>
        <v>11576</v>
      </c>
      <c r="L6" s="20" t="s">
        <v>485</v>
      </c>
      <c r="M6" s="16" t="s">
        <v>491</v>
      </c>
    </row>
    <row r="7" customFormat="false" ht="15" hidden="false" customHeight="false" outlineLevel="0" collapsed="false">
      <c r="A7" s="20" t="s">
        <v>492</v>
      </c>
      <c r="B7" s="16" t="s">
        <v>493</v>
      </c>
      <c r="C7" s="20" t="s">
        <v>494</v>
      </c>
      <c r="D7" s="41" t="n">
        <v>3</v>
      </c>
      <c r="E7" s="20" t="s">
        <v>495</v>
      </c>
      <c r="F7" s="20" t="s">
        <v>490</v>
      </c>
      <c r="G7" s="15" t="n">
        <f aca="false">機票價格!L6+機票價格!L5</f>
        <v>14588</v>
      </c>
      <c r="H7" s="15" t="n">
        <f aca="false">機票價格!O5</f>
        <v>950</v>
      </c>
      <c r="I7" s="31" t="n">
        <v>0</v>
      </c>
      <c r="J7" s="32" t="n">
        <f aca="false">I7*總覽!$B$5</f>
        <v>0</v>
      </c>
      <c r="K7" s="32" t="n">
        <f aca="false">G7+H7+J7</f>
        <v>15538</v>
      </c>
      <c r="L7" s="20" t="s">
        <v>485</v>
      </c>
      <c r="M7" s="16" t="s">
        <v>496</v>
      </c>
    </row>
    <row r="8" customFormat="false" ht="15" hidden="false" customHeight="false" outlineLevel="0" collapsed="false">
      <c r="A8" s="20" t="s">
        <v>497</v>
      </c>
      <c r="B8" s="16" t="s">
        <v>498</v>
      </c>
      <c r="C8" s="20" t="s">
        <v>494</v>
      </c>
      <c r="D8" s="41" t="n">
        <v>3</v>
      </c>
      <c r="E8" s="20" t="s">
        <v>499</v>
      </c>
      <c r="F8" s="20" t="s">
        <v>500</v>
      </c>
      <c r="G8" s="15" t="n">
        <f aca="false">機票價格!M7</f>
        <v>19586</v>
      </c>
      <c r="H8" s="15" t="n">
        <f aca="false">2*機票價格!O7</f>
        <v>0</v>
      </c>
      <c r="I8" s="31" t="n">
        <v>0</v>
      </c>
      <c r="J8" s="32" t="n">
        <f aca="false">I8*總覽!$B$5</f>
        <v>0</v>
      </c>
      <c r="K8" s="32" t="n">
        <f aca="false">G8+H8+J8</f>
        <v>19586</v>
      </c>
      <c r="L8" s="20" t="s">
        <v>485</v>
      </c>
      <c r="M8" s="16" t="s">
        <v>501</v>
      </c>
    </row>
    <row r="9" customFormat="false" ht="26.85" hidden="false" customHeight="false" outlineLevel="0" collapsed="false">
      <c r="A9" s="20" t="s">
        <v>502</v>
      </c>
      <c r="B9" s="16" t="s">
        <v>503</v>
      </c>
      <c r="C9" s="20" t="s">
        <v>482</v>
      </c>
      <c r="D9" s="41" t="n">
        <v>4</v>
      </c>
      <c r="E9" s="20" t="s">
        <v>504</v>
      </c>
      <c r="F9" s="20" t="s">
        <v>505</v>
      </c>
      <c r="G9" s="15" t="n">
        <f aca="false">機票價格!M8</f>
        <v>16526</v>
      </c>
      <c r="H9" s="15" t="n">
        <f aca="false">2*機票價格!O8</f>
        <v>0</v>
      </c>
      <c r="I9" s="31" t="n">
        <f aca="false">2*(12580+500)-1690-680*2</f>
        <v>23110</v>
      </c>
      <c r="J9" s="32" t="n">
        <f aca="false">I9*總覽!$B$5</f>
        <v>4853.1</v>
      </c>
      <c r="K9" s="32" t="n">
        <f aca="false">G9+H9+J9</f>
        <v>21379.1</v>
      </c>
      <c r="L9" s="20" t="s">
        <v>506</v>
      </c>
      <c r="M9" s="16" t="s">
        <v>507</v>
      </c>
    </row>
    <row r="10" customFormat="false" ht="15" hidden="false" customHeight="false" outlineLevel="0" collapsed="false">
      <c r="A10" s="20" t="s">
        <v>508</v>
      </c>
      <c r="B10" s="16" t="s">
        <v>509</v>
      </c>
      <c r="C10" s="20" t="s">
        <v>482</v>
      </c>
      <c r="D10" s="41" t="n">
        <v>4</v>
      </c>
      <c r="E10" s="20" t="s">
        <v>489</v>
      </c>
      <c r="F10" s="20" t="s">
        <v>505</v>
      </c>
      <c r="G10" s="15" t="n">
        <f aca="false">機票價格!L5+機票價格!L8</f>
        <v>15104</v>
      </c>
      <c r="H10" s="15" t="n">
        <f aca="false">機票價格!O5</f>
        <v>950</v>
      </c>
      <c r="I10" s="31" t="n">
        <f aca="false">12580+500-1690-680</f>
        <v>10710</v>
      </c>
      <c r="J10" s="32" t="n">
        <f aca="false">I10*總覽!$B$5</f>
        <v>2249.1</v>
      </c>
      <c r="K10" s="32" t="n">
        <f aca="false">G10+H10+J10</f>
        <v>18303.1</v>
      </c>
      <c r="L10" s="20" t="s">
        <v>485</v>
      </c>
      <c r="M10" s="16" t="s">
        <v>510</v>
      </c>
    </row>
    <row r="11" customFormat="false" ht="15" hidden="false" customHeight="false" outlineLevel="0" collapsed="false">
      <c r="A11" s="20" t="s">
        <v>511</v>
      </c>
      <c r="B11" s="16" t="s">
        <v>512</v>
      </c>
      <c r="C11" s="20" t="s">
        <v>482</v>
      </c>
      <c r="D11" s="41" t="n">
        <v>4</v>
      </c>
      <c r="E11" s="16" t="s">
        <v>513</v>
      </c>
      <c r="F11" s="16" t="s">
        <v>514</v>
      </c>
      <c r="G11" s="15" t="n">
        <f aca="false">機票價格!M12</f>
        <v>10772</v>
      </c>
      <c r="H11" s="15" t="n">
        <f aca="false">2*機票價格!O12</f>
        <v>2000</v>
      </c>
      <c r="I11" s="31" t="n">
        <f aca="false">2*(12580+500)-1690-680*2</f>
        <v>23110</v>
      </c>
      <c r="J11" s="32" t="n">
        <f aca="false">I11*總覽!$B$5</f>
        <v>4853.1</v>
      </c>
      <c r="K11" s="32" t="n">
        <f aca="false">G11+H11+J11</f>
        <v>17625.1</v>
      </c>
      <c r="L11" s="20" t="s">
        <v>506</v>
      </c>
      <c r="M11" s="16" t="s">
        <v>515</v>
      </c>
    </row>
    <row r="13" customFormat="false" ht="15" hidden="false" customHeight="false" outlineLevel="0" collapsed="false">
      <c r="A13" s="3" t="s">
        <v>516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517</v>
      </c>
    </row>
    <row r="2" customFormat="false" ht="15" hidden="false" customHeight="false" outlineLevel="0" collapsed="false">
      <c r="A2" s="2" t="s">
        <v>518</v>
      </c>
    </row>
    <row r="4" customFormat="false" ht="26.85" hidden="false" customHeight="false" outlineLevel="0" collapsed="false">
      <c r="A4" s="8" t="s">
        <v>11</v>
      </c>
      <c r="B4" s="8" t="s">
        <v>136</v>
      </c>
      <c r="C4" s="8" t="s">
        <v>519</v>
      </c>
      <c r="D4" s="8" t="s">
        <v>520</v>
      </c>
      <c r="E4" s="8" t="s">
        <v>521</v>
      </c>
      <c r="F4" s="8" t="s">
        <v>522</v>
      </c>
      <c r="G4" s="8" t="s">
        <v>523</v>
      </c>
      <c r="H4" s="8" t="s">
        <v>524</v>
      </c>
      <c r="I4" s="8" t="s">
        <v>525</v>
      </c>
      <c r="J4" s="8" t="s">
        <v>200</v>
      </c>
    </row>
    <row r="5" customFormat="false" ht="26.85" hidden="false" customHeight="false" outlineLevel="0" collapsed="false">
      <c r="A5" s="20" t="s">
        <v>35</v>
      </c>
      <c r="B5" s="16" t="s">
        <v>526</v>
      </c>
      <c r="C5" s="16" t="s">
        <v>527</v>
      </c>
      <c r="D5" s="31" t="n">
        <v>1310</v>
      </c>
      <c r="E5" s="16" t="s">
        <v>528</v>
      </c>
      <c r="F5" s="31" t="n">
        <v>9000</v>
      </c>
      <c r="G5" s="31" t="n">
        <v>570</v>
      </c>
      <c r="H5" s="42" t="n">
        <f aca="false">D5+F5+G5</f>
        <v>10880</v>
      </c>
      <c r="I5" s="32" t="n">
        <f aca="false">H5*總覽!$B$5</f>
        <v>2284.8</v>
      </c>
      <c r="J5" s="43" t="s">
        <v>529</v>
      </c>
    </row>
    <row r="6" customFormat="false" ht="26.85" hidden="false" customHeight="false" outlineLevel="0" collapsed="false">
      <c r="A6" s="20" t="s">
        <v>47</v>
      </c>
      <c r="B6" s="16" t="s">
        <v>530</v>
      </c>
      <c r="C6" s="20" t="s">
        <v>531</v>
      </c>
      <c r="D6" s="31" t="n">
        <v>2300</v>
      </c>
      <c r="E6" s="16" t="s">
        <v>249</v>
      </c>
      <c r="F6" s="31" t="n">
        <v>20000</v>
      </c>
      <c r="G6" s="31" t="n">
        <v>0</v>
      </c>
      <c r="H6" s="42" t="n">
        <f aca="false">D6+F6+G6</f>
        <v>22300</v>
      </c>
      <c r="I6" s="32" t="n">
        <f aca="false">H6*總覽!$B$5</f>
        <v>4683</v>
      </c>
      <c r="J6" s="43" t="s">
        <v>532</v>
      </c>
    </row>
    <row r="7" customFormat="false" ht="15" hidden="false" customHeight="false" outlineLevel="0" collapsed="false">
      <c r="A7" s="20" t="s">
        <v>49</v>
      </c>
      <c r="B7" s="16" t="s">
        <v>533</v>
      </c>
      <c r="C7" s="16" t="s">
        <v>534</v>
      </c>
      <c r="D7" s="31" t="n">
        <v>1200</v>
      </c>
      <c r="E7" s="16" t="s">
        <v>535</v>
      </c>
      <c r="F7" s="31" t="n">
        <v>8000</v>
      </c>
      <c r="G7" s="31" t="n">
        <v>4400</v>
      </c>
      <c r="H7" s="42" t="n">
        <f aca="false">D7+F7+G7</f>
        <v>13600</v>
      </c>
      <c r="I7" s="32" t="n">
        <f aca="false">H7*總覽!$B$5</f>
        <v>2856</v>
      </c>
      <c r="J7" s="43" t="s">
        <v>536</v>
      </c>
    </row>
    <row r="8" customFormat="false" ht="26.85" hidden="false" customHeight="false" outlineLevel="0" collapsed="false">
      <c r="A8" s="20" t="s">
        <v>537</v>
      </c>
      <c r="B8" s="16" t="s">
        <v>538</v>
      </c>
      <c r="C8" s="20" t="s">
        <v>539</v>
      </c>
      <c r="D8" s="31" t="n">
        <v>1900</v>
      </c>
      <c r="E8" s="16" t="s">
        <v>540</v>
      </c>
      <c r="F8" s="44" t="n">
        <f aca="false">總覽!B7</f>
        <v>0</v>
      </c>
      <c r="G8" s="31" t="n">
        <v>0</v>
      </c>
      <c r="H8" s="42" t="n">
        <f aca="false">D8+F8+G8</f>
        <v>1900</v>
      </c>
      <c r="I8" s="32" t="n">
        <f aca="false">H8*總覽!$B$5</f>
        <v>399</v>
      </c>
      <c r="J8" s="45" t="s">
        <v>541</v>
      </c>
    </row>
    <row r="9" customFormat="false" ht="15" hidden="false" customHeight="false" outlineLevel="0" collapsed="false">
      <c r="A9" s="20" t="s">
        <v>66</v>
      </c>
      <c r="B9" s="16" t="s">
        <v>542</v>
      </c>
      <c r="C9" s="16" t="s">
        <v>543</v>
      </c>
      <c r="D9" s="31" t="n">
        <v>2690</v>
      </c>
      <c r="E9" s="16" t="s">
        <v>528</v>
      </c>
      <c r="F9" s="31" t="n">
        <v>9000</v>
      </c>
      <c r="G9" s="31" t="n">
        <v>0</v>
      </c>
      <c r="H9" s="42" t="n">
        <f aca="false">D9+F9+G9</f>
        <v>11690</v>
      </c>
      <c r="I9" s="32" t="n">
        <f aca="false">H9*總覽!$B$5</f>
        <v>2454.9</v>
      </c>
      <c r="J9" s="43"/>
    </row>
    <row r="10" customFormat="false" ht="26.85" hidden="false" customHeight="false" outlineLevel="0" collapsed="false">
      <c r="A10" s="20" t="s">
        <v>58</v>
      </c>
      <c r="B10" s="16" t="s">
        <v>544</v>
      </c>
      <c r="C10" s="20" t="s">
        <v>545</v>
      </c>
      <c r="D10" s="31" t="n">
        <v>1540</v>
      </c>
      <c r="E10" s="20" t="s">
        <v>64</v>
      </c>
      <c r="F10" s="31" t="n">
        <v>0</v>
      </c>
      <c r="G10" s="31" t="n">
        <v>2200</v>
      </c>
      <c r="H10" s="42" t="n">
        <f aca="false">D10+F10+G10</f>
        <v>3740</v>
      </c>
      <c r="I10" s="32" t="n">
        <f aca="false">H10*總覽!$B$5</f>
        <v>785.4</v>
      </c>
      <c r="J10" s="43" t="s">
        <v>546</v>
      </c>
    </row>
    <row r="11" customFormat="false" ht="15" hidden="false" customHeight="false" outlineLevel="0" collapsed="false">
      <c r="A11" s="46" t="s">
        <v>25</v>
      </c>
      <c r="B11" s="16"/>
      <c r="C11" s="16"/>
      <c r="D11" s="47" t="n">
        <f aca="false">SUM(D5:D10)</f>
        <v>10940</v>
      </c>
      <c r="E11" s="16"/>
      <c r="F11" s="47" t="n">
        <f aca="false">SUM(F5:F10)</f>
        <v>46000</v>
      </c>
      <c r="G11" s="47" t="n">
        <f aca="false">SUM(G5:G10)</f>
        <v>7170</v>
      </c>
      <c r="H11" s="47" t="n">
        <f aca="false">SUM(H5:H10)</f>
        <v>64110</v>
      </c>
      <c r="I11" s="48" t="n">
        <f aca="false">SUM(I5:I10)</f>
        <v>13463.1</v>
      </c>
      <c r="J11" s="16"/>
    </row>
    <row r="12" customFormat="false" ht="15" hidden="false" customHeight="false" outlineLevel="0" collapsed="false">
      <c r="A12" s="4" t="s">
        <v>547</v>
      </c>
      <c r="H12" s="49" t="n">
        <v>5000</v>
      </c>
      <c r="J12" s="2" t="s">
        <v>548</v>
      </c>
    </row>
    <row r="13" customFormat="false" ht="15" hidden="false" customHeight="false" outlineLevel="0" collapsed="false">
      <c r="A13" s="4" t="s">
        <v>549</v>
      </c>
      <c r="H13" s="50" t="n">
        <f aca="false">H12*6</f>
        <v>30000</v>
      </c>
      <c r="I13" s="51" t="n">
        <f aca="false">H13*總覽!$B$5</f>
        <v>6300</v>
      </c>
    </row>
    <row r="14" customFormat="false" ht="15" hidden="false" customHeight="false" outlineLevel="0" collapsed="false">
      <c r="A14" s="3" t="s">
        <v>550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551</v>
      </c>
      <c r="B1" s="8" t="s">
        <v>552</v>
      </c>
      <c r="C1" s="8" t="s">
        <v>553</v>
      </c>
      <c r="D1" s="8" t="s">
        <v>200</v>
      </c>
    </row>
    <row r="2" customFormat="false" ht="15" hidden="false" customHeight="false" outlineLevel="0" collapsed="false">
      <c r="A2" s="16" t="s">
        <v>554</v>
      </c>
      <c r="B2" s="20" t="s">
        <v>555</v>
      </c>
      <c r="C2" s="52" t="s">
        <v>556</v>
      </c>
      <c r="D2" s="16" t="s">
        <v>557</v>
      </c>
    </row>
    <row r="3" customFormat="false" ht="15" hidden="false" customHeight="false" outlineLevel="0" collapsed="false">
      <c r="A3" s="16" t="s">
        <v>558</v>
      </c>
      <c r="B3" s="20" t="s">
        <v>555</v>
      </c>
      <c r="C3" s="52" t="s">
        <v>556</v>
      </c>
      <c r="D3" s="16" t="s">
        <v>559</v>
      </c>
    </row>
    <row r="4" customFormat="false" ht="15" hidden="false" customHeight="false" outlineLevel="0" collapsed="false">
      <c r="A4" s="16" t="s">
        <v>560</v>
      </c>
      <c r="B4" s="20" t="s">
        <v>555</v>
      </c>
      <c r="C4" s="52" t="s">
        <v>556</v>
      </c>
      <c r="D4" s="16" t="s">
        <v>561</v>
      </c>
    </row>
    <row r="5" customFormat="false" ht="15" hidden="false" customHeight="false" outlineLevel="0" collapsed="false">
      <c r="A5" s="16" t="s">
        <v>562</v>
      </c>
      <c r="B5" s="20" t="s">
        <v>563</v>
      </c>
      <c r="C5" s="52" t="s">
        <v>556</v>
      </c>
      <c r="D5" s="16" t="s">
        <v>564</v>
      </c>
    </row>
    <row r="6" customFormat="false" ht="15" hidden="false" customHeight="false" outlineLevel="0" collapsed="false">
      <c r="A6" s="16" t="s">
        <v>565</v>
      </c>
      <c r="B6" s="20" t="s">
        <v>566</v>
      </c>
      <c r="C6" s="52" t="s">
        <v>556</v>
      </c>
      <c r="D6" s="16" t="s">
        <v>567</v>
      </c>
    </row>
    <row r="7" customFormat="false" ht="15" hidden="false" customHeight="false" outlineLevel="0" collapsed="false">
      <c r="A7" s="16" t="s">
        <v>568</v>
      </c>
      <c r="B7" s="20" t="s">
        <v>569</v>
      </c>
      <c r="C7" s="52" t="s">
        <v>556</v>
      </c>
      <c r="D7" s="20" t="s">
        <v>570</v>
      </c>
    </row>
    <row r="8" customFormat="false" ht="15" hidden="false" customHeight="false" outlineLevel="0" collapsed="false">
      <c r="A8" s="16" t="s">
        <v>571</v>
      </c>
      <c r="B8" s="16" t="s">
        <v>572</v>
      </c>
      <c r="C8" s="52" t="s">
        <v>556</v>
      </c>
      <c r="D8" s="16" t="s">
        <v>573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574</v>
      </c>
      <c r="B1" s="8" t="s">
        <v>575</v>
      </c>
    </row>
    <row r="2" customFormat="false" ht="14.15" hidden="false" customHeight="false" outlineLevel="0" collapsed="false">
      <c r="A2" s="4" t="s">
        <v>576</v>
      </c>
      <c r="B2" s="53" t="s">
        <v>577</v>
      </c>
    </row>
    <row r="3" customFormat="false" ht="14.15" hidden="false" customHeight="false" outlineLevel="0" collapsed="false">
      <c r="A3" s="4" t="s">
        <v>578</v>
      </c>
      <c r="B3" s="53" t="s">
        <v>579</v>
      </c>
    </row>
    <row r="4" customFormat="false" ht="14.15" hidden="false" customHeight="false" outlineLevel="0" collapsed="false">
      <c r="A4" s="54" t="s">
        <v>580</v>
      </c>
      <c r="B4" s="53" t="s">
        <v>581</v>
      </c>
    </row>
    <row r="5" customFormat="false" ht="14.15" hidden="false" customHeight="false" outlineLevel="0" collapsed="false">
      <c r="A5" s="54" t="s">
        <v>582</v>
      </c>
      <c r="B5" s="53" t="s">
        <v>583</v>
      </c>
    </row>
    <row r="6" customFormat="false" ht="14.15" hidden="false" customHeight="false" outlineLevel="0" collapsed="false">
      <c r="A6" s="54" t="s">
        <v>584</v>
      </c>
      <c r="B6" s="53" t="s">
        <v>585</v>
      </c>
    </row>
    <row r="7" customFormat="false" ht="14.15" hidden="false" customHeight="false" outlineLevel="0" collapsed="false">
      <c r="A7" s="54" t="s">
        <v>586</v>
      </c>
      <c r="B7" s="53" t="s">
        <v>587</v>
      </c>
    </row>
    <row r="8" customFormat="false" ht="14.15" hidden="false" customHeight="false" outlineLevel="0" collapsed="false">
      <c r="A8" s="54" t="s">
        <v>588</v>
      </c>
      <c r="B8" s="53" t="s">
        <v>589</v>
      </c>
    </row>
    <row r="9" customFormat="false" ht="15" hidden="false" customHeight="false" outlineLevel="0" collapsed="false">
      <c r="A9" s="4" t="s">
        <v>590</v>
      </c>
      <c r="B9" s="53" t="s">
        <v>591</v>
      </c>
    </row>
    <row r="10" customFormat="false" ht="14.15" hidden="false" customHeight="false" outlineLevel="0" collapsed="false">
      <c r="A10" s="54" t="s">
        <v>592</v>
      </c>
      <c r="B10" s="53" t="s">
        <v>593</v>
      </c>
    </row>
    <row r="11" customFormat="false" ht="14.15" hidden="false" customHeight="false" outlineLevel="0" collapsed="false">
      <c r="A11" s="54" t="s">
        <v>594</v>
      </c>
      <c r="B11" s="53" t="s">
        <v>595</v>
      </c>
    </row>
    <row r="12" customFormat="false" ht="15" hidden="false" customHeight="false" outlineLevel="0" collapsed="false">
      <c r="A12" s="4" t="s">
        <v>596</v>
      </c>
      <c r="B12" s="53" t="s">
        <v>597</v>
      </c>
    </row>
    <row r="13" customFormat="false" ht="15" hidden="false" customHeight="false" outlineLevel="0" collapsed="false">
      <c r="A13" s="4" t="s">
        <v>598</v>
      </c>
      <c r="B13" s="53" t="s">
        <v>599</v>
      </c>
    </row>
    <row r="14" customFormat="false" ht="15" hidden="false" customHeight="false" outlineLevel="0" collapsed="false">
      <c r="A14" s="4" t="s">
        <v>600</v>
      </c>
      <c r="B14" s="53" t="s">
        <v>601</v>
      </c>
    </row>
    <row r="15" customFormat="false" ht="15" hidden="false" customHeight="false" outlineLevel="0" collapsed="false">
      <c r="A15" s="4" t="s">
        <v>602</v>
      </c>
      <c r="B15" s="53" t="s">
        <v>603</v>
      </c>
    </row>
    <row r="16" customFormat="false" ht="15" hidden="false" customHeight="false" outlineLevel="0" collapsed="false">
      <c r="A16" s="4" t="s">
        <v>604</v>
      </c>
      <c r="B16" s="53" t="s">
        <v>605</v>
      </c>
    </row>
    <row r="17" customFormat="false" ht="14.15" hidden="false" customHeight="false" outlineLevel="0" collapsed="false">
      <c r="A17" s="4" t="s">
        <v>606</v>
      </c>
      <c r="B17" s="53" t="s">
        <v>607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2026-10-10T15:13:31Z</dcterms:created>
  <dc:creator>openpyxl</dc:creator>
  <dc:description/>
  <dc:language>en-US</dc:language>
  <cp:lastModifiedBy/>
  <dcterms:modified xsi:type="dcterms:W3CDTF">2026-10-10T15:13:32Z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