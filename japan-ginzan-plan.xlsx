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總覽" sheetId="1" state="visible" r:id="rId3"/>
    <sheet name="即時查價 10-9" sheetId="2" state="visible" r:id="rId4"/>
    <sheet name="新方案 10-10" sheetId="3" state="visible" r:id="rId5"/>
    <sheet name="仙台進出 10-10" sheetId="4" state="visible" r:id="rId6"/>
    <sheet name="非仙台回程 10-10" sheetId="5" state="visible" r:id="rId7"/>
    <sheet name="即時查價 10-13" sheetId="6" state="visible" r:id="rId8"/>
    <sheet name="兩人票價 10-13" sheetId="7" state="visible" r:id="rId9"/>
    <sheet name="每日行程" sheetId="8" state="visible" r:id="rId10"/>
    <sheet name="機票價格" sheetId="9" state="visible" r:id="rId11"/>
    <sheet name="方案比較" sheetId="10" state="visible" r:id="rId12"/>
    <sheet name="行程預算" sheetId="11" state="visible" r:id="rId13"/>
    <sheet name="待辦清單" sheetId="12" state="visible" r:id="rId14"/>
    <sheet name="資料來源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<sst xmlns="http://schemas.openxmlformats.org/spreadsheetml/2006/main" count="1325" uniqueCount="676">
  <si>
    <r>
      <rPr>
        <b val="true"/>
        <sz val="14"/>
        <color rgb="FF000000"/>
        <rFont val="WenQuanYi Zen Hei"/>
        <family val="2"/>
      </rPr>
      <t xml:space="preserve">東北雪國 </t>
    </r>
    <r>
      <rPr>
        <b val="true"/>
        <sz val="14"/>
        <color rgb="FF000000"/>
        <rFont val="Arial"/>
        <family val="0"/>
        <charset val="1"/>
      </rPr>
      <t xml:space="preserve">× </t>
    </r>
    <r>
      <rPr>
        <b val="true"/>
        <sz val="14"/>
        <color rgb="FF000000"/>
        <rFont val="WenQuanYi Zen Hei"/>
        <family val="2"/>
      </rPr>
      <t xml:space="preserve">銀山溫泉 規劃表（</t>
    </r>
    <r>
      <rPr>
        <b val="true"/>
        <sz val="14"/>
        <color rgb="FF000000"/>
        <rFont val="Arial"/>
        <family val="0"/>
        <charset val="1"/>
      </rPr>
      <t xml:space="preserve">2027/1/22–1/31</t>
    </r>
    <r>
      <rPr>
        <b val="true"/>
        <sz val="14"/>
        <color rgb="FF000000"/>
        <rFont val="WenQuanYi Zen Hei"/>
        <family val="2"/>
      </rPr>
      <t xml:space="preserve">）</t>
    </r>
  </si>
  <si>
    <r>
      <rPr>
        <sz val="10"/>
        <color rgb="FF5F7285"/>
        <rFont val="WenQuanYi Zen Hei"/>
        <family val="2"/>
      </rPr>
      <t xml:space="preserve">票價為 </t>
    </r>
    <r>
      <rPr>
        <sz val="10"/>
        <color rgb="FF5F7285"/>
        <rFont val="Arial"/>
        <family val="0"/>
        <charset val="1"/>
      </rPr>
      <t xml:space="preserve">2026/9 </t>
    </r>
    <r>
      <rPr>
        <sz val="10"/>
        <color rgb="FF5F7285"/>
        <rFont val="WenQuanYi Zen Hei"/>
        <family val="2"/>
      </rPr>
      <t xml:space="preserve">公開資料的參考價，非即時報價；在「機票價格」工作表 </t>
    </r>
    <r>
      <rPr>
        <sz val="10"/>
        <color rgb="FF5F7285"/>
        <rFont val="Arial"/>
        <family val="0"/>
        <charset val="1"/>
      </rPr>
      <t xml:space="preserve">J</t>
    </r>
    <r>
      <rPr>
        <sz val="10"/>
        <color rgb="FF5F7285"/>
        <rFont val="WenQuanYi Zen Hei"/>
        <family val="2"/>
      </rPr>
      <t xml:space="preserve">、</t>
    </r>
    <r>
      <rPr>
        <sz val="10"/>
        <color rgb="FF5F7285"/>
        <rFont val="Arial"/>
        <family val="0"/>
        <charset val="1"/>
      </rPr>
      <t xml:space="preserve">K </t>
    </r>
    <r>
      <rPr>
        <sz val="10"/>
        <color rgb="FF5F7285"/>
        <rFont val="WenQuanYi Zen Hei"/>
        <family val="2"/>
      </rPr>
      <t xml:space="preserve">欄填入你實際查到的價格，全部表格會自動改用你的價格。</t>
    </r>
  </si>
  <si>
    <t xml:space="preserve">設定（黃底可修改）</t>
  </si>
  <si>
    <r>
      <rPr>
        <sz val="10"/>
        <color rgb="FF000000"/>
        <rFont val="WenQuanYi Zen Hei"/>
        <family val="2"/>
      </rPr>
      <t xml:space="preserve">匯率（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日圓 </t>
    </r>
    <r>
      <rPr>
        <sz val="10"/>
        <color rgb="FF000000"/>
        <rFont val="Arial"/>
        <family val="0"/>
        <charset val="1"/>
      </rPr>
      <t xml:space="preserve">= ? </t>
    </r>
    <r>
      <rPr>
        <sz val="10"/>
        <color rgb="FF000000"/>
        <rFont val="WenQuanYi Zen Hei"/>
        <family val="2"/>
      </rPr>
      <t xml:space="preserve">新台幣）</t>
    </r>
  </si>
  <si>
    <r>
      <rPr>
        <sz val="10"/>
        <color rgb="FF5F7285"/>
        <rFont val="WenQuanYi Zen Hei"/>
        <family val="2"/>
      </rPr>
      <t xml:space="preserve">假設值：約 </t>
    </r>
    <r>
      <rPr>
        <sz val="10"/>
        <color rgb="FF5F7285"/>
        <rFont val="Arial"/>
        <family val="0"/>
        <charset val="1"/>
      </rPr>
      <t xml:space="preserve">0.21</t>
    </r>
    <r>
      <rPr>
        <sz val="10"/>
        <color rgb="FF5F7285"/>
        <rFont val="WenQuanYi Zen Hei"/>
        <family val="2"/>
      </rPr>
      <t xml:space="preserve">，出發前請依當時匯率調整</t>
    </r>
  </si>
  <si>
    <t xml:space="preserve">旅行人數</t>
  </si>
  <si>
    <t xml:space="preserve">票價與費用皆為每人；改人數會影響總覽的「全員合計」</t>
  </si>
  <si>
    <r>
      <rPr>
        <sz val="10"/>
        <color rgb="FF000000"/>
        <rFont val="WenQuanYi Zen Hei"/>
        <family val="2"/>
      </rPr>
      <t xml:space="preserve">銀山溫泉住宿費（已訂，日圓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人）</t>
    </r>
  </si>
  <si>
    <r>
      <rPr>
        <sz val="10"/>
        <color rgb="FF5F7285"/>
        <rFont val="WenQuanYi Zen Hei"/>
        <family val="2"/>
      </rPr>
      <t xml:space="preserve">使用者已訂 </t>
    </r>
    <r>
      <rPr>
        <sz val="10"/>
        <color rgb="FF5F7285"/>
        <rFont val="Arial"/>
        <family val="0"/>
        <charset val="1"/>
      </rPr>
      <t xml:space="preserve">1/29</t>
    </r>
    <r>
      <rPr>
        <sz val="10"/>
        <color rgb="FF5F7285"/>
        <rFont val="WenQuanYi Zen Hei"/>
        <family val="2"/>
      </rPr>
      <t xml:space="preserve">；請填入實際金額</t>
    </r>
  </si>
  <si>
    <t xml:space="preserve">方案總比較（每人，新台幣）</t>
  </si>
  <si>
    <t xml:space="preserve">方案</t>
  </si>
  <si>
    <t xml:space="preserve">日期</t>
  </si>
  <si>
    <t xml:space="preserve">請假天數</t>
  </si>
  <si>
    <t xml:space="preserve">機票＋行李</t>
  </si>
  <si>
    <t xml:space="preserve">往返銀山的陸路交通</t>
  </si>
  <si>
    <t xml:space="preserve">機票＋交通合計</t>
  </si>
  <si>
    <t xml:space="preserve">全員合計</t>
  </si>
  <si>
    <t xml:space="preserve">推薦</t>
  </si>
  <si>
    <t xml:space="preserve">★ 定案（早去晚回）</t>
  </si>
  <si>
    <t xml:space="preserve">最便宜</t>
  </si>
  <si>
    <t xml:space="preserve">最短請假</t>
  </si>
  <si>
    <r>
      <rPr>
        <sz val="10"/>
        <color rgb="FF5F7285"/>
        <rFont val="WenQuanYi Zen Hei"/>
        <family val="2"/>
      </rPr>
      <t xml:space="preserve">「往返銀山的陸路交通」＝仙台⇄大石田 </t>
    </r>
    <r>
      <rPr>
        <sz val="10"/>
        <color rgb="FF5F7285"/>
        <rFont val="Arial"/>
        <family val="0"/>
        <charset val="1"/>
      </rPr>
      <t xml:space="preserve">JR </t>
    </r>
    <r>
      <rPr>
        <sz val="10"/>
        <color rgb="FF5F7285"/>
        <rFont val="WenQuanYi Zen Hei"/>
        <family val="2"/>
      </rPr>
      <t xml:space="preserve">與機場線（</t>
    </r>
    <r>
      <rPr>
        <sz val="10"/>
        <color rgb="FF5F7285"/>
        <rFont val="Arial"/>
        <family val="0"/>
        <charset val="1"/>
      </rPr>
      <t xml:space="preserve">¥3,050</t>
    </r>
    <r>
      <rPr>
        <sz val="10"/>
        <color rgb="FF5F7285"/>
        <rFont val="WenQuanYi Zen Hei"/>
        <family val="2"/>
      </rPr>
      <t xml:space="preserve">）＋各方案額外的新幹線費用。</t>
    </r>
  </si>
  <si>
    <t xml:space="preserve">定案行程 全程預算（每人，新台幣）</t>
  </si>
  <si>
    <t xml:space="preserve">當地交通、住宿、門票、餐費（含銀山溫泉）</t>
  </si>
  <si>
    <t xml:space="preserve">當地交通已含仙台⇄大石田等車資，所以不另加上方表格的陸路交通</t>
  </si>
  <si>
    <t xml:space="preserve">合計</t>
  </si>
  <si>
    <t xml:space="preserve">圖例：藍字＝輸入或估計值　黑字＝公式　綠字＝引用其他工作表　黃底＝請你填寫或修改</t>
  </si>
  <si>
    <r>
      <rPr>
        <b val="true"/>
        <sz val="13"/>
        <color rgb="FF000000"/>
        <rFont val="Arial"/>
        <family val="0"/>
        <charset val="1"/>
      </rPr>
      <t xml:space="preserve">Google Flights </t>
    </r>
    <r>
      <rPr>
        <b val="true"/>
        <sz val="13"/>
        <color rgb="FF000000"/>
        <rFont val="WenQuanYi Zen Hei"/>
        <family val="2"/>
      </rPr>
      <t xml:space="preserve">即時查價（</t>
    </r>
    <r>
      <rPr>
        <b val="true"/>
        <sz val="13"/>
        <color rgb="FF000000"/>
        <rFont val="Arial"/>
        <family val="0"/>
        <charset val="1"/>
      </rPr>
      <t xml:space="preserve">2026/10/9 </t>
    </r>
    <r>
      <rPr>
        <b val="true"/>
        <sz val="13"/>
        <color rgb="FF000000"/>
        <rFont val="WenQuanYi Zen Hei"/>
        <family val="2"/>
      </rPr>
      <t xml:space="preserve">查詢；回程含 </t>
    </r>
    <r>
      <rPr>
        <b val="true"/>
        <sz val="13"/>
        <color rgb="FF000000"/>
        <rFont val="Arial"/>
        <family val="0"/>
        <charset val="1"/>
      </rPr>
      <t xml:space="preserve">1/30–2/3</t>
    </r>
    <r>
      <rPr>
        <b val="true"/>
        <sz val="13"/>
        <color rgb="FF000000"/>
        <rFont val="WenQuanYi Zen Hei"/>
        <family val="2"/>
      </rPr>
      <t xml:space="preserve">，每人單程經濟艙，含稅，新台幣）</t>
    </r>
  </si>
  <si>
    <t xml:space="preserve">有列出價格＝當下還有位子可以買。價格會變動，而且廉航不含托運行李。「商務艙」代表經濟艙已經查不到，只剩商務艙。</t>
  </si>
  <si>
    <t xml:space="preserve">航線</t>
  </si>
  <si>
    <t xml:space="preserve">航空</t>
  </si>
  <si>
    <t xml:space="preserve">起飛 → 抵達</t>
  </si>
  <si>
    <t xml:space="preserve">價格</t>
  </si>
  <si>
    <t xml:space="preserve">艙等</t>
  </si>
  <si>
    <t xml:space="preserve">狀態／備註</t>
  </si>
  <si>
    <r>
      <rPr>
        <sz val="10"/>
        <color rgb="FF000000"/>
        <rFont val="Arial"/>
        <family val="0"/>
        <charset val="1"/>
      </rPr>
      <t xml:space="preserve">1/26 </t>
    </r>
    <r>
      <rPr>
        <sz val="10"/>
        <color rgb="FF000000"/>
        <rFont val="WenQuanYi Zen Hei"/>
        <family val="2"/>
      </rPr>
      <t xml:space="preserve">二</t>
    </r>
  </si>
  <si>
    <t xml:space="preserve">桃園→仙台</t>
  </si>
  <si>
    <t xml:space="preserve">長榮航空</t>
  </si>
  <si>
    <t xml:space="preserve">10:15 → 14:25</t>
  </si>
  <si>
    <t xml:space="preserve">經濟</t>
  </si>
  <si>
    <r>
      <rPr>
        <sz val="10"/>
        <color rgb="FF000000"/>
        <rFont val="WenQuanYi Zen Hei"/>
        <family val="2"/>
      </rPr>
      <t xml:space="preserve">有位；比原本查到的 </t>
    </r>
    <r>
      <rPr>
        <sz val="10"/>
        <color rgb="FF000000"/>
        <rFont val="Arial"/>
        <family val="0"/>
        <charset val="1"/>
      </rPr>
      <t xml:space="preserve">08:45 </t>
    </r>
    <r>
      <rPr>
        <sz val="10"/>
        <color rgb="FF000000"/>
        <rFont val="WenQuanYi Zen Hei"/>
        <family val="2"/>
      </rPr>
      <t xml:space="preserve">晚</t>
    </r>
  </si>
  <si>
    <t xml:space="preserve">星宇航空</t>
  </si>
  <si>
    <t xml:space="preserve">11:50 → 16:00</t>
  </si>
  <si>
    <t xml:space="preserve">有位</t>
  </si>
  <si>
    <t xml:space="preserve">台灣虎航</t>
  </si>
  <si>
    <t xml:space="preserve">14:35 → 18:45</t>
  </si>
  <si>
    <t xml:space="preserve">有位；不含托運行李</t>
  </si>
  <si>
    <r>
      <rPr>
        <sz val="10"/>
        <color rgb="FF000000"/>
        <rFont val="Arial"/>
        <family val="0"/>
        <charset val="1"/>
      </rPr>
      <t xml:space="preserve">1/27 </t>
    </r>
    <r>
      <rPr>
        <sz val="10"/>
        <color rgb="FF000000"/>
        <rFont val="WenQuanYi Zen Hei"/>
        <family val="2"/>
      </rPr>
      <t xml:space="preserve">三</t>
    </r>
  </si>
  <si>
    <r>
      <rPr>
        <sz val="10"/>
        <color rgb="FF000000"/>
        <rFont val="WenQuanYi Zen Hei"/>
        <family val="2"/>
      </rPr>
      <t xml:space="preserve">有位，比 </t>
    </r>
    <r>
      <rPr>
        <sz val="10"/>
        <color rgb="FF000000"/>
        <rFont val="Arial"/>
        <family val="0"/>
        <charset val="1"/>
      </rPr>
      <t xml:space="preserve">1/26 </t>
    </r>
    <r>
      <rPr>
        <sz val="10"/>
        <color rgb="FF000000"/>
        <rFont val="WenQuanYi Zen Hei"/>
        <family val="2"/>
      </rPr>
      <t xml:space="preserve">便宜很多</t>
    </r>
  </si>
  <si>
    <r>
      <rPr>
        <sz val="10"/>
        <color rgb="FF000000"/>
        <rFont val="Arial"/>
        <family val="0"/>
        <charset val="1"/>
      </rPr>
      <t xml:space="preserve">1/28 </t>
    </r>
    <r>
      <rPr>
        <sz val="10"/>
        <color rgb="FF000000"/>
        <rFont val="WenQuanYi Zen Hei"/>
        <family val="2"/>
      </rPr>
      <t xml:space="preserve">四</t>
    </r>
  </si>
  <si>
    <t xml:space="preserve">松山→羽田</t>
  </si>
  <si>
    <t xml:space="preserve">日航／華航</t>
  </si>
  <si>
    <t xml:space="preserve">09:10 → 13:00</t>
  </si>
  <si>
    <t xml:space="preserve">有位，早班又便宜</t>
  </si>
  <si>
    <t xml:space="preserve">07:15 → 11:00</t>
  </si>
  <si>
    <t xml:space="preserve">有位，最早的一班</t>
  </si>
  <si>
    <t xml:space="preserve">華航／日航</t>
  </si>
  <si>
    <t xml:space="preserve">09:00 → 12:50</t>
  </si>
  <si>
    <r>
      <rPr>
        <sz val="10"/>
        <color rgb="FF000000"/>
        <rFont val="Arial"/>
        <family val="0"/>
        <charset val="1"/>
      </rPr>
      <t xml:space="preserve">1/31 </t>
    </r>
    <r>
      <rPr>
        <sz val="10"/>
        <color rgb="FF000000"/>
        <rFont val="WenQuanYi Zen Hei"/>
        <family val="2"/>
      </rPr>
      <t xml:space="preserve">日</t>
    </r>
  </si>
  <si>
    <t xml:space="preserve">仙台→桃園</t>
  </si>
  <si>
    <t xml:space="preserve">16:15 → 19:30</t>
  </si>
  <si>
    <t xml:space="preserve">商務</t>
  </si>
  <si>
    <t xml:space="preserve">經濟艙查不到，只剩商務艙</t>
  </si>
  <si>
    <t xml:space="preserve">17:25 → 20:35</t>
  </si>
  <si>
    <t xml:space="preserve">—</t>
  </si>
  <si>
    <t xml:space="preserve">沒有班次（或已售完）</t>
  </si>
  <si>
    <r>
      <rPr>
        <sz val="10"/>
        <color rgb="FF000000"/>
        <rFont val="Arial"/>
        <family val="0"/>
        <charset val="1"/>
      </rPr>
      <t xml:space="preserve">1/30 </t>
    </r>
    <r>
      <rPr>
        <sz val="10"/>
        <color rgb="FF000000"/>
        <rFont val="WenQuanYi Zen Hei"/>
        <family val="2"/>
      </rPr>
      <t xml:space="preserve">六</t>
    </r>
  </si>
  <si>
    <t xml:space="preserve">直飛</t>
  </si>
  <si>
    <r>
      <rPr>
        <sz val="10"/>
        <color rgb="FF000000"/>
        <rFont val="WenQuanYi Zen Hei"/>
        <family val="2"/>
      </rPr>
      <t xml:space="preserve">沒有直飛，只有轉機（約 </t>
    </r>
    <r>
      <rPr>
        <sz val="10"/>
        <color rgb="FF000000"/>
        <rFont val="Arial"/>
        <family val="0"/>
        <charset val="1"/>
      </rPr>
      <t xml:space="preserve">NT$12,900 </t>
    </r>
    <r>
      <rPr>
        <sz val="10"/>
        <color rgb="FF000000"/>
        <rFont val="WenQuanYi Zen Hei"/>
        <family val="2"/>
      </rPr>
      <t xml:space="preserve">起，飛行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小時以上）</t>
    </r>
  </si>
  <si>
    <r>
      <rPr>
        <sz val="10"/>
        <color rgb="FF000000"/>
        <rFont val="Arial"/>
        <family val="0"/>
        <charset val="1"/>
      </rPr>
      <t xml:space="preserve">2/1 </t>
    </r>
    <r>
      <rPr>
        <sz val="10"/>
        <color rgb="FF000000"/>
        <rFont val="WenQuanYi Zen Hei"/>
        <family val="2"/>
      </rPr>
      <t xml:space="preserve">一</t>
    </r>
  </si>
  <si>
    <t xml:space="preserve">唯一的直飛，經濟艙查不到</t>
  </si>
  <si>
    <r>
      <rPr>
        <sz val="10"/>
        <color rgb="FF000000"/>
        <rFont val="Arial"/>
        <family val="0"/>
        <charset val="1"/>
      </rPr>
      <t xml:space="preserve">2/2 </t>
    </r>
    <r>
      <rPr>
        <sz val="10"/>
        <color rgb="FF000000"/>
        <rFont val="WenQuanYi Zen Hei"/>
        <family val="2"/>
      </rPr>
      <t xml:space="preserve">二</t>
    </r>
  </si>
  <si>
    <t xml:space="preserve">19:40 → 23:00</t>
  </si>
  <si>
    <t xml:space="preserve">有位；含行李</t>
  </si>
  <si>
    <r>
      <rPr>
        <sz val="10"/>
        <color rgb="FF000000"/>
        <rFont val="Arial"/>
        <family val="0"/>
        <charset val="1"/>
      </rPr>
      <t xml:space="preserve">2/3 </t>
    </r>
    <r>
      <rPr>
        <sz val="10"/>
        <color rgb="FF000000"/>
        <rFont val="WenQuanYi Zen Hei"/>
        <family val="2"/>
      </rPr>
      <t xml:space="preserve">三</t>
    </r>
  </si>
  <si>
    <t xml:space="preserve">沒有直飛</t>
  </si>
  <si>
    <t xml:space="preserve">成田→桃園</t>
  </si>
  <si>
    <t xml:space="preserve">泰國獅航</t>
  </si>
  <si>
    <t xml:space="preserve">18:15 → 21:10</t>
  </si>
  <si>
    <r>
      <rPr>
        <sz val="10"/>
        <color rgb="FF000000"/>
        <rFont val="WenQuanYi Zen Hei"/>
        <family val="2"/>
      </rPr>
      <t xml:space="preserve">有位；</t>
    </r>
    <r>
      <rPr>
        <sz val="10"/>
        <color rgb="FF000000"/>
        <rFont val="Arial"/>
        <family val="0"/>
        <charset val="1"/>
      </rPr>
      <t xml:space="preserve">2/1 </t>
    </r>
    <r>
      <rPr>
        <sz val="10"/>
        <color rgb="FF000000"/>
        <rFont val="WenQuanYi Zen Hei"/>
        <family val="2"/>
      </rPr>
      <t xml:space="preserve">最便宜的晚班</t>
    </r>
  </si>
  <si>
    <t xml:space="preserve">酷航</t>
  </si>
  <si>
    <t xml:space="preserve">19:45 → 22:55</t>
  </si>
  <si>
    <t xml:space="preserve">18:25 → 21:50</t>
  </si>
  <si>
    <t xml:space="preserve">20:10 → 23:20</t>
  </si>
  <si>
    <t xml:space="preserve">13:45 → 16:50</t>
  </si>
  <si>
    <t xml:space="preserve">羽田→松山</t>
  </si>
  <si>
    <t xml:space="preserve">12:15 → 15:05</t>
  </si>
  <si>
    <t xml:space="preserve">有位；回松山最晚的平價班次</t>
  </si>
  <si>
    <t xml:space="preserve">17:25 → 20:20</t>
  </si>
  <si>
    <t xml:space="preserve">19:45 → 23:00</t>
  </si>
  <si>
    <t xml:space="preserve">有位；晚回又能搭捷運回家</t>
  </si>
  <si>
    <t xml:space="preserve">20:25 → 23:25</t>
  </si>
  <si>
    <t xml:space="preserve">有位；落地太晚，可能趕不上末班捷運</t>
  </si>
  <si>
    <t xml:space="preserve">樂桃航空</t>
  </si>
  <si>
    <t xml:space="preserve">16:35 → 20:00</t>
  </si>
  <si>
    <t xml:space="preserve">15:40 → 18:45</t>
  </si>
  <si>
    <r>
      <rPr>
        <sz val="10"/>
        <color rgb="FF000000"/>
        <rFont val="WenQuanYi Zen Hei"/>
        <family val="2"/>
      </rPr>
      <t xml:space="preserve">有位；另有 </t>
    </r>
    <r>
      <rPr>
        <sz val="10"/>
        <color rgb="FF000000"/>
        <rFont val="Arial"/>
        <family val="0"/>
        <charset val="1"/>
      </rPr>
      <t xml:space="preserve">20:10 </t>
    </r>
    <r>
      <rPr>
        <sz val="10"/>
        <color rgb="FF000000"/>
        <rFont val="WenQuanYi Zen Hei"/>
        <family val="2"/>
      </rPr>
      <t xml:space="preserve">的班次</t>
    </r>
  </si>
  <si>
    <t xml:space="preserve">20:20 → 23:25</t>
  </si>
  <si>
    <t xml:space="preserve">07:55 → 10:55</t>
  </si>
  <si>
    <t xml:space="preserve">有位，但太早</t>
  </si>
  <si>
    <t xml:space="preserve">18:05 → 21:00</t>
  </si>
  <si>
    <t xml:space="preserve">有位，但很貴</t>
  </si>
  <si>
    <r>
      <rPr>
        <b val="true"/>
        <sz val="13"/>
        <color rgb="FF000000"/>
        <rFont val="WenQuanYi Zen Hei"/>
        <family val="2"/>
      </rPr>
      <t xml:space="preserve">不經仙台／不從仙台回的方案（</t>
    </r>
    <r>
      <rPr>
        <b val="true"/>
        <sz val="13"/>
        <color rgb="FF000000"/>
        <rFont val="Arial"/>
        <family val="0"/>
        <charset val="1"/>
      </rPr>
      <t xml:space="preserve">Google Flights 2026/10/10 </t>
    </r>
    <r>
      <rPr>
        <b val="true"/>
        <sz val="13"/>
        <color rgb="FF000000"/>
        <rFont val="WenQuanYi Zen Hei"/>
        <family val="2"/>
      </rPr>
      <t xml:space="preserve">查到可購買的經濟艙，每人單程含稅，新台幣）</t>
    </r>
  </si>
  <si>
    <r>
      <rPr>
        <sz val="10"/>
        <color rgb="FF5F7285"/>
        <rFont val="WenQuanYi Zen Hei"/>
        <family val="2"/>
      </rPr>
      <t xml:space="preserve">價格隨時會變；廉航（酷航、虎航、泰國獅航、捷星、樂桃）不含托運行李。日圓換算引用「總覽」</t>
    </r>
    <r>
      <rPr>
        <sz val="10"/>
        <color rgb="FF5F7285"/>
        <rFont val="Arial"/>
        <family val="0"/>
        <charset val="1"/>
      </rPr>
      <t xml:space="preserve">B5 </t>
    </r>
    <r>
      <rPr>
        <sz val="10"/>
        <color rgb="FF5F7285"/>
        <rFont val="WenQuanYi Zen Hei"/>
        <family val="2"/>
      </rPr>
      <t xml:space="preserve">的匯率。</t>
    </r>
  </si>
  <si>
    <t xml:space="preserve">請假</t>
  </si>
  <si>
    <t xml:space="preserve">去程</t>
  </si>
  <si>
    <t xml:space="preserve">去程票價</t>
  </si>
  <si>
    <t xml:space="preserve">回程</t>
  </si>
  <si>
    <t xml:space="preserve">回程票價</t>
  </si>
  <si>
    <t xml:space="preserve">行李加購（估）</t>
  </si>
  <si>
    <t xml:space="preserve">陸路交通（日圓）</t>
  </si>
  <si>
    <t xml:space="preserve">合計（新台幣）</t>
  </si>
  <si>
    <t xml:space="preserve">評語</t>
  </si>
  <si>
    <t xml:space="preserve">① 東京進出（推薦・最便宜）</t>
  </si>
  <si>
    <r>
      <rPr>
        <sz val="10"/>
        <color rgb="FF000000"/>
        <rFont val="Arial"/>
        <family val="0"/>
        <charset val="1"/>
      </rPr>
      <t xml:space="preserve">1/27 </t>
    </r>
    <r>
      <rPr>
        <sz val="10"/>
        <color rgb="FF000000"/>
        <rFont val="WenQuanYi Zen Hei"/>
        <family val="2"/>
      </rPr>
      <t xml:space="preserve">三 酷航 </t>
    </r>
    <r>
      <rPr>
        <sz val="10"/>
        <color rgb="FF000000"/>
        <rFont val="Arial"/>
        <family val="0"/>
        <charset val="1"/>
      </rPr>
      <t xml:space="preserve">06:50 </t>
    </r>
    <r>
      <rPr>
        <sz val="10"/>
        <color rgb="FF000000"/>
        <rFont val="WenQuanYi Zen Hei"/>
        <family val="2"/>
      </rPr>
      <t xml:space="preserve">桃園→成田 </t>
    </r>
    <r>
      <rPr>
        <sz val="10"/>
        <color rgb="FF000000"/>
        <rFont val="Arial"/>
        <family val="0"/>
        <charset val="1"/>
      </rPr>
      <t xml:space="preserve">10:55</t>
    </r>
  </si>
  <si>
    <r>
      <rPr>
        <sz val="10"/>
        <color rgb="FF000000"/>
        <rFont val="Arial"/>
        <family val="0"/>
        <charset val="1"/>
      </rPr>
      <t xml:space="preserve">2/1 </t>
    </r>
    <r>
      <rPr>
        <sz val="10"/>
        <color rgb="FF000000"/>
        <rFont val="WenQuanYi Zen Hei"/>
        <family val="2"/>
      </rPr>
      <t xml:space="preserve">一 泰國獅航 </t>
    </r>
    <r>
      <rPr>
        <sz val="10"/>
        <color rgb="FF000000"/>
        <rFont val="Arial"/>
        <family val="0"/>
        <charset val="1"/>
      </rPr>
      <t xml:space="preserve">18:15 </t>
    </r>
    <r>
      <rPr>
        <sz val="10"/>
        <color rgb="FF000000"/>
        <rFont val="WenQuanYi Zen Hei"/>
        <family val="2"/>
      </rPr>
      <t xml:space="preserve">成田→桃園 </t>
    </r>
    <r>
      <rPr>
        <sz val="10"/>
        <color rgb="FF000000"/>
        <rFont val="Arial"/>
        <family val="0"/>
        <charset val="1"/>
      </rPr>
      <t xml:space="preserve">21:10</t>
    </r>
  </si>
  <si>
    <r>
      <rPr>
        <sz val="10"/>
        <color rgb="FF000000"/>
        <rFont val="WenQuanYi Zen Hei"/>
        <family val="2"/>
      </rPr>
      <t xml:space="preserve">早去晚回又最便宜；</t>
    </r>
    <r>
      <rPr>
        <sz val="10"/>
        <color rgb="FF000000"/>
        <rFont val="Arial"/>
        <family val="0"/>
        <charset val="1"/>
      </rPr>
      <t xml:space="preserve">21:10 </t>
    </r>
    <r>
      <rPr>
        <sz val="10"/>
        <color rgb="FF000000"/>
        <rFont val="WenQuanYi Zen Hei"/>
        <family val="2"/>
      </rPr>
      <t xml:space="preserve">落地可搭捷運回家。備選去程：虎航 </t>
    </r>
    <r>
      <rPr>
        <sz val="10"/>
        <color rgb="FF000000"/>
        <rFont val="Arial"/>
        <family val="0"/>
        <charset val="1"/>
      </rPr>
      <t xml:space="preserve">06:10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10,699</t>
    </r>
    <r>
      <rPr>
        <sz val="10"/>
        <color rgb="FF000000"/>
        <rFont val="WenQuanYi Zen Hei"/>
        <family val="2"/>
      </rPr>
      <t xml:space="preserve">）；備選回程：酷航 </t>
    </r>
    <r>
      <rPr>
        <sz val="10"/>
        <color rgb="FF000000"/>
        <rFont val="Arial"/>
        <family val="0"/>
        <charset val="1"/>
      </rPr>
      <t xml:space="preserve">19:45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10,770</t>
    </r>
    <r>
      <rPr>
        <sz val="10"/>
        <color rgb="FF000000"/>
        <rFont val="WenQuanYi Zen Hei"/>
        <family val="2"/>
      </rPr>
      <t xml:space="preserve">）</t>
    </r>
  </si>
  <si>
    <t xml:space="preserve">② 東京進出（同樣日期，含行李的航空）</t>
  </si>
  <si>
    <r>
      <rPr>
        <sz val="10"/>
        <color rgb="FF000000"/>
        <rFont val="Arial"/>
        <family val="0"/>
        <charset val="1"/>
      </rPr>
      <t xml:space="preserve">1/27 </t>
    </r>
    <r>
      <rPr>
        <sz val="10"/>
        <color rgb="FF000000"/>
        <rFont val="WenQuanYi Zen Hei"/>
        <family val="2"/>
      </rPr>
      <t xml:space="preserve">三 星宇 </t>
    </r>
    <r>
      <rPr>
        <sz val="10"/>
        <color rgb="FF000000"/>
        <rFont val="Arial"/>
        <family val="0"/>
        <charset val="1"/>
      </rPr>
      <t xml:space="preserve">08:25 </t>
    </r>
    <r>
      <rPr>
        <sz val="10"/>
        <color rgb="FF000000"/>
        <rFont val="WenQuanYi Zen Hei"/>
        <family val="2"/>
      </rPr>
      <t xml:space="preserve">桃園→成田 </t>
    </r>
    <r>
      <rPr>
        <sz val="10"/>
        <color rgb="FF000000"/>
        <rFont val="Arial"/>
        <family val="0"/>
        <charset val="1"/>
      </rPr>
      <t xml:space="preserve">12:35</t>
    </r>
  </si>
  <si>
    <r>
      <rPr>
        <sz val="10"/>
        <color rgb="FF000000"/>
        <rFont val="Arial"/>
        <family val="0"/>
        <charset val="1"/>
      </rPr>
      <t xml:space="preserve">2/1 </t>
    </r>
    <r>
      <rPr>
        <sz val="10"/>
        <color rgb="FF000000"/>
        <rFont val="WenQuanYi Zen Hei"/>
        <family val="2"/>
      </rPr>
      <t xml:space="preserve">一 星宇 </t>
    </r>
    <r>
      <rPr>
        <sz val="10"/>
        <color rgb="FF000000"/>
        <rFont val="Arial"/>
        <family val="0"/>
        <charset val="1"/>
      </rPr>
      <t xml:space="preserve">20:10 </t>
    </r>
    <r>
      <rPr>
        <sz val="10"/>
        <color rgb="FF000000"/>
        <rFont val="WenQuanYi Zen Hei"/>
        <family val="2"/>
      </rPr>
      <t xml:space="preserve">成田→桃園 </t>
    </r>
    <r>
      <rPr>
        <sz val="10"/>
        <color rgb="FF000000"/>
        <rFont val="Arial"/>
        <family val="0"/>
        <charset val="1"/>
      </rPr>
      <t xml:space="preserve">23:20</t>
    </r>
  </si>
  <si>
    <t xml:space="preserve">不用另買行李、座位比較舒適；回程落地較晚</t>
  </si>
  <si>
    <t xml:space="preserve">③ 仙台進、東京出</t>
  </si>
  <si>
    <r>
      <rPr>
        <sz val="10"/>
        <color rgb="FF000000"/>
        <rFont val="Arial"/>
        <family val="0"/>
        <charset val="1"/>
      </rPr>
      <t xml:space="preserve">1/27 </t>
    </r>
    <r>
      <rPr>
        <sz val="10"/>
        <color rgb="FF000000"/>
        <rFont val="WenQuanYi Zen Hei"/>
        <family val="2"/>
      </rPr>
      <t xml:space="preserve">三 星宇 </t>
    </r>
    <r>
      <rPr>
        <sz val="10"/>
        <color rgb="FF000000"/>
        <rFont val="Arial"/>
        <family val="0"/>
        <charset val="1"/>
      </rPr>
      <t xml:space="preserve">11:50 </t>
    </r>
    <r>
      <rPr>
        <sz val="10"/>
        <color rgb="FF000000"/>
        <rFont val="WenQuanYi Zen Hei"/>
        <family val="2"/>
      </rPr>
      <t xml:space="preserve">桃園→仙台 </t>
    </r>
    <r>
      <rPr>
        <sz val="10"/>
        <color rgb="FF000000"/>
        <rFont val="Arial"/>
        <family val="0"/>
        <charset val="1"/>
      </rPr>
      <t xml:space="preserve">16:00</t>
    </r>
  </si>
  <si>
    <r>
      <rPr>
        <sz val="10"/>
        <color rgb="FF000000"/>
        <rFont val="WenQuanYi Zen Hei"/>
        <family val="2"/>
      </rPr>
      <t xml:space="preserve">第一天可以逛仙台；去程含行李。</t>
    </r>
    <r>
      <rPr>
        <sz val="10"/>
        <color rgb="FF000000"/>
        <rFont val="Arial"/>
        <family val="0"/>
        <charset val="1"/>
      </rPr>
      <t xml:space="preserve">1/30 </t>
    </r>
    <r>
      <rPr>
        <sz val="10"/>
        <color rgb="FF000000"/>
        <rFont val="WenQuanYi Zen Hei"/>
        <family val="2"/>
      </rPr>
      <t xml:space="preserve">從大石田直達東京</t>
    </r>
  </si>
  <si>
    <t xml:space="preserve">④ 松山進出（離家最近）</t>
  </si>
  <si>
    <r>
      <rPr>
        <sz val="10"/>
        <color rgb="FF000000"/>
        <rFont val="Arial"/>
        <family val="0"/>
        <charset val="1"/>
      </rPr>
      <t xml:space="preserve">1/27 </t>
    </r>
    <r>
      <rPr>
        <sz val="10"/>
        <color rgb="FF000000"/>
        <rFont val="WenQuanYi Zen Hei"/>
        <family val="2"/>
      </rPr>
      <t xml:space="preserve">三 長榮 </t>
    </r>
    <r>
      <rPr>
        <sz val="10"/>
        <color rgb="FF000000"/>
        <rFont val="Arial"/>
        <family val="0"/>
        <charset val="1"/>
      </rPr>
      <t xml:space="preserve">07:15 </t>
    </r>
    <r>
      <rPr>
        <sz val="10"/>
        <color rgb="FF000000"/>
        <rFont val="WenQuanYi Zen Hei"/>
        <family val="2"/>
      </rPr>
      <t xml:space="preserve">松山→羽田 </t>
    </r>
    <r>
      <rPr>
        <sz val="10"/>
        <color rgb="FF000000"/>
        <rFont val="Arial"/>
        <family val="0"/>
        <charset val="1"/>
      </rPr>
      <t xml:space="preserve">11:00</t>
    </r>
  </si>
  <si>
    <r>
      <rPr>
        <sz val="10"/>
        <color rgb="FF000000"/>
        <rFont val="Arial"/>
        <family val="0"/>
        <charset val="1"/>
      </rPr>
      <t xml:space="preserve">2/1 </t>
    </r>
    <r>
      <rPr>
        <sz val="10"/>
        <color rgb="FF000000"/>
        <rFont val="WenQuanYi Zen Hei"/>
        <family val="2"/>
      </rPr>
      <t xml:space="preserve">一 長榮 </t>
    </r>
    <r>
      <rPr>
        <sz val="10"/>
        <color rgb="FF000000"/>
        <rFont val="Arial"/>
        <family val="0"/>
        <charset val="1"/>
      </rPr>
      <t xml:space="preserve">12:15 </t>
    </r>
    <r>
      <rPr>
        <sz val="10"/>
        <color rgb="FF000000"/>
        <rFont val="WenQuanYi Zen Hei"/>
        <family val="2"/>
      </rPr>
      <t xml:space="preserve">羽田→松山 </t>
    </r>
    <r>
      <rPr>
        <sz val="10"/>
        <color rgb="FF000000"/>
        <rFont val="Arial"/>
        <family val="0"/>
        <charset val="1"/>
      </rPr>
      <t xml:space="preserve">15:05</t>
    </r>
  </si>
  <si>
    <t xml:space="preserve">交通最方便，但回程是中午，不算晚回</t>
  </si>
  <si>
    <t xml:space="preserve">⑤ 秋田進、新潟出（東北其他機場）</t>
  </si>
  <si>
    <r>
      <rPr>
        <sz val="10"/>
        <color rgb="FF000000"/>
        <rFont val="Arial"/>
        <family val="0"/>
        <charset val="1"/>
      </rPr>
      <t xml:space="preserve">1/28 </t>
    </r>
    <r>
      <rPr>
        <sz val="10"/>
        <color rgb="FF000000"/>
        <rFont val="WenQuanYi Zen Hei"/>
        <family val="2"/>
      </rPr>
      <t xml:space="preserve">四 虎航 </t>
    </r>
    <r>
      <rPr>
        <sz val="10"/>
        <color rgb="FF000000"/>
        <rFont val="Arial"/>
        <family val="0"/>
        <charset val="1"/>
      </rPr>
      <t xml:space="preserve">08:30 </t>
    </r>
    <r>
      <rPr>
        <sz val="10"/>
        <color rgb="FF000000"/>
        <rFont val="WenQuanYi Zen Hei"/>
        <family val="2"/>
      </rPr>
      <t xml:space="preserve">桃園→秋田 </t>
    </r>
    <r>
      <rPr>
        <sz val="10"/>
        <color rgb="FF000000"/>
        <rFont val="Arial"/>
        <family val="0"/>
        <charset val="1"/>
      </rPr>
      <t xml:space="preserve">12:40</t>
    </r>
  </si>
  <si>
    <r>
      <rPr>
        <sz val="10"/>
        <color rgb="FF000000"/>
        <rFont val="Arial"/>
        <family val="0"/>
        <charset val="1"/>
      </rPr>
      <t xml:space="preserve">2/1 </t>
    </r>
    <r>
      <rPr>
        <sz val="10"/>
        <color rgb="FF000000"/>
        <rFont val="WenQuanYi Zen Hei"/>
        <family val="2"/>
      </rPr>
      <t xml:space="preserve">一 虎航 </t>
    </r>
    <r>
      <rPr>
        <sz val="10"/>
        <color rgb="FF000000"/>
        <rFont val="Arial"/>
        <family val="0"/>
        <charset val="1"/>
      </rPr>
      <t xml:space="preserve">19:00 </t>
    </r>
    <r>
      <rPr>
        <sz val="10"/>
        <color rgb="FF000000"/>
        <rFont val="WenQuanYi Zen Hei"/>
        <family val="2"/>
      </rPr>
      <t xml:space="preserve">新潟→桃園 </t>
    </r>
    <r>
      <rPr>
        <sz val="10"/>
        <color rgb="FF000000"/>
        <rFont val="Arial"/>
        <family val="0"/>
        <charset val="1"/>
      </rPr>
      <t xml:space="preserve">22:30</t>
    </r>
  </si>
  <si>
    <r>
      <rPr>
        <sz val="10"/>
        <color rgb="FF000000"/>
        <rFont val="WenQuanYi Zen Hei"/>
        <family val="2"/>
      </rPr>
      <t xml:space="preserve">秋田只有 </t>
    </r>
    <r>
      <rPr>
        <sz val="10"/>
        <color rgb="FF000000"/>
        <rFont val="Arial"/>
        <family val="0"/>
        <charset val="1"/>
      </rPr>
      <t xml:space="preserve">1/28 </t>
    </r>
    <r>
      <rPr>
        <sz val="10"/>
        <color rgb="FF000000"/>
        <rFont val="WenQuanYi Zen Hei"/>
        <family val="2"/>
      </rPr>
      <t xml:space="preserve">有飛、到銀山要 </t>
    </r>
    <r>
      <rPr>
        <sz val="10"/>
        <color rgb="FF000000"/>
        <rFont val="Arial"/>
        <family val="0"/>
        <charset val="1"/>
      </rPr>
      <t xml:space="preserve">4.5–5 </t>
    </r>
    <r>
      <rPr>
        <sz val="10"/>
        <color rgb="FF000000"/>
        <rFont val="WenQuanYi Zen Hei"/>
        <family val="2"/>
      </rPr>
      <t xml:space="preserve">小時；只能玩 </t>
    </r>
    <r>
      <rPr>
        <sz val="10"/>
        <color rgb="FF000000"/>
        <rFont val="Arial"/>
        <family val="0"/>
        <charset val="1"/>
      </rPr>
      <t xml:space="preserve">1/28 </t>
    </r>
    <r>
      <rPr>
        <sz val="10"/>
        <color rgb="FF000000"/>
        <rFont val="WenQuanYi Zen Hei"/>
        <family val="2"/>
      </rPr>
      <t xml:space="preserve">到 </t>
    </r>
    <r>
      <rPr>
        <sz val="10"/>
        <color rgb="FF000000"/>
        <rFont val="Arial"/>
        <family val="0"/>
        <charset val="1"/>
      </rPr>
      <t xml:space="preserve">2/1</t>
    </r>
    <r>
      <rPr>
        <sz val="10"/>
        <color rgb="FF000000"/>
        <rFont val="WenQuanYi Zen Hei"/>
        <family val="2"/>
      </rPr>
      <t xml:space="preserve">，不推薦</t>
    </r>
  </si>
  <si>
    <r>
      <rPr>
        <sz val="10"/>
        <color rgb="FF5F7285"/>
        <rFont val="WenQuanYi Zen Hei"/>
        <family val="2"/>
      </rPr>
      <t xml:space="preserve">陸路交通：新幹線 東京→山形 </t>
    </r>
    <r>
      <rPr>
        <sz val="10"/>
        <color rgb="FF5F7285"/>
        <rFont val="Arial"/>
        <family val="0"/>
        <charset val="1"/>
      </rPr>
      <t xml:space="preserve">¥11,670</t>
    </r>
    <r>
      <rPr>
        <sz val="10"/>
        <color rgb="FF5F7285"/>
        <rFont val="WenQuanYi Zen Hei"/>
        <family val="2"/>
      </rPr>
      <t xml:space="preserve">、大石田→東京 </t>
    </r>
    <r>
      <rPr>
        <sz val="10"/>
        <color rgb="FF5F7285"/>
        <rFont val="Arial"/>
        <family val="0"/>
        <charset val="1"/>
      </rPr>
      <t xml:space="preserve">¥12,780</t>
    </r>
    <r>
      <rPr>
        <sz val="10"/>
        <color rgb="FF5F7285"/>
        <rFont val="WenQuanYi Zen Hei"/>
        <family val="2"/>
      </rPr>
      <t xml:space="preserve">（</t>
    </r>
    <r>
      <rPr>
        <sz val="10"/>
        <color rgb="FF5F7285"/>
        <rFont val="Arial"/>
        <family val="0"/>
        <charset val="1"/>
      </rPr>
      <t xml:space="preserve">2026/3 </t>
    </r>
    <r>
      <rPr>
        <sz val="10"/>
        <color rgb="FF5F7285"/>
        <rFont val="WenQuanYi Zen Hei"/>
        <family val="2"/>
      </rPr>
      <t xml:space="preserve">調價後指定席）；成田⇄東京 </t>
    </r>
    <r>
      <rPr>
        <sz val="10"/>
        <color rgb="FF5F7285"/>
        <rFont val="Arial"/>
        <family val="0"/>
        <charset val="1"/>
      </rPr>
      <t xml:space="preserve">Skyliner</t>
    </r>
    <r>
      <rPr>
        <sz val="10"/>
        <color rgb="FF5F7285"/>
        <rFont val="WenQuanYi Zen Hei"/>
        <family val="2"/>
      </rPr>
      <t xml:space="preserve">／</t>
    </r>
    <r>
      <rPr>
        <sz val="10"/>
        <color rgb="FF5F7285"/>
        <rFont val="Arial"/>
        <family val="0"/>
        <charset val="1"/>
      </rPr>
      <t xml:space="preserve">N'EX </t>
    </r>
    <r>
      <rPr>
        <sz val="10"/>
        <color rgb="FF5F7285"/>
        <rFont val="WenQuanYi Zen Hei"/>
        <family val="2"/>
      </rPr>
      <t xml:space="preserve">約 </t>
    </r>
    <r>
      <rPr>
        <sz val="10"/>
        <color rgb="FF5F7285"/>
        <rFont val="Arial"/>
        <family val="0"/>
        <charset val="1"/>
      </rPr>
      <t xml:space="preserve">¥2,600</t>
    </r>
    <r>
      <rPr>
        <sz val="10"/>
        <color rgb="FF5F7285"/>
        <rFont val="WenQuanYi Zen Hei"/>
        <family val="2"/>
      </rPr>
      <t xml:space="preserve">；松山方案用羽田京急／單軌約 </t>
    </r>
    <r>
      <rPr>
        <sz val="10"/>
        <color rgb="FF5F7285"/>
        <rFont val="Arial"/>
        <family val="0"/>
        <charset val="1"/>
      </rPr>
      <t xml:space="preserve">¥600</t>
    </r>
    <r>
      <rPr>
        <sz val="10"/>
        <color rgb="FF5F7285"/>
        <rFont val="WenQuanYi Zen Hei"/>
        <family val="2"/>
      </rPr>
      <t xml:space="preserve">。</t>
    </r>
    <r>
      <rPr>
        <sz val="10"/>
        <color rgb="FF5F7285"/>
        <rFont val="Arial"/>
        <family val="0"/>
        <charset val="1"/>
      </rPr>
      <t xml:space="preserve">JR EAST PASS 5 </t>
    </r>
    <r>
      <rPr>
        <sz val="10"/>
        <color rgb="FF5F7285"/>
        <rFont val="WenQuanYi Zen Hei"/>
        <family val="2"/>
      </rPr>
      <t xml:space="preserve">日券 </t>
    </r>
    <r>
      <rPr>
        <sz val="10"/>
        <color rgb="FF5F7285"/>
        <rFont val="Arial"/>
        <family val="0"/>
        <charset val="1"/>
      </rPr>
      <t xml:space="preserve">¥35,000 </t>
    </r>
    <r>
      <rPr>
        <sz val="10"/>
        <color rgb="FF5F7285"/>
        <rFont val="WenQuanYi Zen Hei"/>
        <family val="2"/>
      </rPr>
      <t xml:space="preserve">不划算。</t>
    </r>
  </si>
  <si>
    <r>
      <rPr>
        <sz val="10"/>
        <color rgb="FF5F7285"/>
        <rFont val="WenQuanYi Zen Hei"/>
        <family val="2"/>
      </rPr>
      <t xml:space="preserve">東北其他機場：福島、山形、庄內沒有台北直飛；花卷（虎航 </t>
    </r>
    <r>
      <rPr>
        <sz val="10"/>
        <color rgb="FF5F7285"/>
        <rFont val="Arial"/>
        <family val="0"/>
        <charset val="1"/>
      </rPr>
      <t xml:space="preserve">1/27</t>
    </r>
    <r>
      <rPr>
        <sz val="10"/>
        <color rgb="FF5F7285"/>
        <rFont val="WenQuanYi Zen Hei"/>
        <family val="2"/>
      </rPr>
      <t xml:space="preserve">、</t>
    </r>
    <r>
      <rPr>
        <sz val="10"/>
        <color rgb="FF5F7285"/>
        <rFont val="Arial"/>
        <family val="0"/>
        <charset val="1"/>
      </rPr>
      <t xml:space="preserve">1/30</t>
    </r>
    <r>
      <rPr>
        <sz val="10"/>
        <color rgb="FF5F7285"/>
        <rFont val="WenQuanYi Zen Hei"/>
        <family val="2"/>
      </rPr>
      <t xml:space="preserve">）、青森（長榮）有直飛，但到銀山溫泉都要 </t>
    </r>
    <r>
      <rPr>
        <sz val="10"/>
        <color rgb="FF5F7285"/>
        <rFont val="Arial"/>
        <family val="0"/>
        <charset val="1"/>
      </rPr>
      <t xml:space="preserve">4.5 </t>
    </r>
    <r>
      <rPr>
        <sz val="10"/>
        <color rgb="FF5F7285"/>
        <rFont val="WenQuanYi Zen Hei"/>
        <family val="2"/>
      </rPr>
      <t xml:space="preserve">小時以上。</t>
    </r>
  </si>
  <si>
    <r>
      <rPr>
        <b val="true"/>
        <sz val="12"/>
        <color rgb="FF000000"/>
        <rFont val="WenQuanYi Zen Hei"/>
        <family val="2"/>
      </rPr>
      <t xml:space="preserve">方案 ① 東京進出：每日行程（</t>
    </r>
    <r>
      <rPr>
        <b val="true"/>
        <sz val="12"/>
        <color rgb="FF000000"/>
        <rFont val="Arial"/>
        <family val="0"/>
        <charset val="1"/>
      </rPr>
      <t xml:space="preserve">1/27 </t>
    </r>
    <r>
      <rPr>
        <b val="true"/>
        <sz val="12"/>
        <color rgb="FF000000"/>
        <rFont val="WenQuanYi Zen Hei"/>
        <family val="2"/>
      </rPr>
      <t xml:space="preserve">三 – </t>
    </r>
    <r>
      <rPr>
        <b val="true"/>
        <sz val="12"/>
        <color rgb="FF000000"/>
        <rFont val="Arial"/>
        <family val="0"/>
        <charset val="1"/>
      </rPr>
      <t xml:space="preserve">2/1 </t>
    </r>
    <r>
      <rPr>
        <b val="true"/>
        <sz val="12"/>
        <color rgb="FF000000"/>
        <rFont val="WenQuanYi Zen Hei"/>
        <family val="2"/>
      </rPr>
      <t xml:space="preserve">一，</t>
    </r>
    <r>
      <rPr>
        <b val="true"/>
        <sz val="12"/>
        <color rgb="FF000000"/>
        <rFont val="Arial"/>
        <family val="0"/>
        <charset val="1"/>
      </rPr>
      <t xml:space="preserve">6 </t>
    </r>
    <r>
      <rPr>
        <b val="true"/>
        <sz val="12"/>
        <color rgb="FF000000"/>
        <rFont val="WenQuanYi Zen Hei"/>
        <family val="2"/>
      </rPr>
      <t xml:space="preserve">天 </t>
    </r>
    <r>
      <rPr>
        <b val="true"/>
        <sz val="12"/>
        <color rgb="FF000000"/>
        <rFont val="Arial"/>
        <family val="0"/>
        <charset val="1"/>
      </rPr>
      <t xml:space="preserve">5 </t>
    </r>
    <r>
      <rPr>
        <b val="true"/>
        <sz val="12"/>
        <color rgb="FF000000"/>
        <rFont val="WenQuanYi Zen Hei"/>
        <family val="2"/>
      </rPr>
      <t xml:space="preserve">夜）</t>
    </r>
  </si>
  <si>
    <t xml:space="preserve">時間</t>
  </si>
  <si>
    <t xml:space="preserve">行程</t>
  </si>
  <si>
    <t xml:space="preserve">交通</t>
  </si>
  <si>
    <t xml:space="preserve">住宿／備註</t>
  </si>
  <si>
    <r>
      <rPr>
        <b val="true"/>
        <sz val="10"/>
        <color rgb="FF000000"/>
        <rFont val="Arial"/>
        <family val="0"/>
        <charset val="1"/>
      </rPr>
      <t xml:space="preserve">1/27 </t>
    </r>
    <r>
      <rPr>
        <b val="true"/>
        <sz val="10"/>
        <color rgb="FF000000"/>
        <rFont val="WenQuanYi Zen Hei"/>
        <family val="2"/>
      </rPr>
      <t xml:space="preserve">三</t>
    </r>
  </si>
  <si>
    <t xml:space="preserve">04:10</t>
  </si>
  <si>
    <t xml:space="preserve">從淡水搭計程車或前一晚住機場附近</t>
  </si>
  <si>
    <r>
      <rPr>
        <sz val="10"/>
        <color rgb="FF000000"/>
        <rFont val="WenQuanYi Zen Hei"/>
        <family val="2"/>
      </rPr>
      <t xml:space="preserve">首班捷運趕不上 </t>
    </r>
    <r>
      <rPr>
        <sz val="10"/>
        <color rgb="FF000000"/>
        <rFont val="Arial"/>
        <family val="0"/>
        <charset val="1"/>
      </rPr>
      <t xml:space="preserve">06:50 </t>
    </r>
    <r>
      <rPr>
        <sz val="10"/>
        <color rgb="FF000000"/>
        <rFont val="WenQuanYi Zen Hei"/>
        <family val="2"/>
      </rPr>
      <t xml:space="preserve">的班機</t>
    </r>
  </si>
  <si>
    <r>
      <rPr>
        <sz val="10"/>
        <color rgb="FF000000"/>
        <rFont val="WenQuanYi Zen Hei"/>
        <family val="2"/>
      </rPr>
      <t xml:space="preserve">酷航 </t>
    </r>
    <r>
      <rPr>
        <sz val="10"/>
        <color rgb="FF000000"/>
        <rFont val="Arial"/>
        <family val="0"/>
        <charset val="1"/>
      </rPr>
      <t xml:space="preserve">TR 06:50 </t>
    </r>
    <r>
      <rPr>
        <sz val="10"/>
        <color rgb="FF000000"/>
        <rFont val="WenQuanYi Zen Hei"/>
        <family val="2"/>
      </rPr>
      <t xml:space="preserve">起飛，</t>
    </r>
    <r>
      <rPr>
        <sz val="10"/>
        <color rgb="FF000000"/>
        <rFont val="Arial"/>
        <family val="0"/>
        <charset val="1"/>
      </rPr>
      <t xml:space="preserve">04:50 </t>
    </r>
    <r>
      <rPr>
        <sz val="10"/>
        <color rgb="FF000000"/>
        <rFont val="WenQuanYi Zen Hei"/>
        <family val="2"/>
      </rPr>
      <t xml:space="preserve">前要到機場</t>
    </r>
  </si>
  <si>
    <t xml:space="preserve">10:55</t>
  </si>
  <si>
    <t xml:space="preserve">抵達成田 → 東京站</t>
  </si>
  <si>
    <r>
      <rPr>
        <sz val="10"/>
        <color rgb="FF000000"/>
        <rFont val="WenQuanYi Zen Hei"/>
        <family val="2"/>
      </rPr>
      <t xml:space="preserve">成田特快 </t>
    </r>
    <r>
      <rPr>
        <sz val="10"/>
        <color rgb="FF000000"/>
        <rFont val="Arial"/>
        <family val="0"/>
        <charset val="1"/>
      </rPr>
      <t xml:space="preserve">N'EX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¥3,100</t>
    </r>
  </si>
  <si>
    <t xml:space="preserve">13:00</t>
  </si>
  <si>
    <t xml:space="preserve">東京 → 山形</t>
  </si>
  <si>
    <r>
      <rPr>
        <sz val="10"/>
        <color rgb="FF000000"/>
        <rFont val="WenQuanYi Zen Hei"/>
        <family val="2"/>
      </rPr>
      <t xml:space="preserve">山形新幹線翼號約 </t>
    </r>
    <r>
      <rPr>
        <sz val="10"/>
        <color rgb="FF000000"/>
        <rFont val="Arial"/>
        <family val="0"/>
        <charset val="1"/>
      </rPr>
      <t xml:space="preserve">2.5–3 </t>
    </r>
    <r>
      <rPr>
        <sz val="10"/>
        <color rgb="FF000000"/>
        <rFont val="WenQuanYi Zen Hei"/>
        <family val="2"/>
      </rPr>
      <t xml:space="preserve">小時，</t>
    </r>
    <r>
      <rPr>
        <sz val="10"/>
        <color rgb="FF000000"/>
        <rFont val="Arial"/>
        <family val="0"/>
        <charset val="1"/>
      </rPr>
      <t xml:space="preserve">¥11,670</t>
    </r>
  </si>
  <si>
    <t xml:space="preserve">16:00</t>
  </si>
  <si>
    <t xml:space="preserve">山形站 → 藏王溫泉</t>
  </si>
  <si>
    <r>
      <rPr>
        <sz val="10"/>
        <color rgb="FF000000"/>
        <rFont val="WenQuanYi Zen Hei"/>
        <family val="2"/>
      </rPr>
      <t xml:space="preserve">山交巴士約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WenQuanYi Zen Hei"/>
        <family val="2"/>
      </rPr>
      <t xml:space="preserve">分鐘，</t>
    </r>
    <r>
      <rPr>
        <sz val="10"/>
        <color rgb="FF000000"/>
        <rFont val="Arial"/>
        <family val="0"/>
        <charset val="1"/>
      </rPr>
      <t xml:space="preserve">¥1,200</t>
    </r>
  </si>
  <si>
    <r>
      <rPr>
        <sz val="10"/>
        <color rgb="FF000000"/>
        <rFont val="WenQuanYi Zen Hei"/>
        <family val="2"/>
      </rPr>
      <t xml:space="preserve">住藏王溫泉；有點燈的日子 </t>
    </r>
    <r>
      <rPr>
        <sz val="10"/>
        <color rgb="FF000000"/>
        <rFont val="Arial"/>
        <family val="0"/>
        <charset val="1"/>
      </rPr>
      <t xml:space="preserve">17:00–21:00 </t>
    </r>
    <r>
      <rPr>
        <sz val="10"/>
        <color rgb="FF000000"/>
        <rFont val="WenQuanYi Zen Hei"/>
        <family val="2"/>
      </rPr>
      <t xml:space="preserve">可以看樹冰夜景</t>
    </r>
  </si>
  <si>
    <r>
      <rPr>
        <b val="true"/>
        <sz val="10"/>
        <color rgb="FF000000"/>
        <rFont val="Arial"/>
        <family val="0"/>
        <charset val="1"/>
      </rPr>
      <t xml:space="preserve">1/28 </t>
    </r>
    <r>
      <rPr>
        <b val="true"/>
        <sz val="10"/>
        <color rgb="FF000000"/>
        <rFont val="WenQuanYi Zen Hei"/>
        <family val="2"/>
      </rPr>
      <t xml:space="preserve">四</t>
    </r>
  </si>
  <si>
    <t xml:space="preserve">08:30</t>
  </si>
  <si>
    <t xml:space="preserve">藏王纜車上山看樹冰</t>
  </si>
  <si>
    <r>
      <rPr>
        <sz val="10"/>
        <color rgb="FF000000"/>
        <rFont val="WenQuanYi Zen Hei"/>
        <family val="2"/>
      </rPr>
      <t xml:space="preserve">纜車來回約 </t>
    </r>
    <r>
      <rPr>
        <sz val="10"/>
        <color rgb="FF000000"/>
        <rFont val="Arial"/>
        <family val="0"/>
        <charset val="1"/>
      </rPr>
      <t xml:space="preserve">¥4,400</t>
    </r>
  </si>
  <si>
    <t xml:space="preserve">早上風比較小</t>
  </si>
  <si>
    <t xml:space="preserve">藏王 → 山形 → 山寺</t>
  </si>
  <si>
    <r>
      <rPr>
        <sz val="10"/>
        <color rgb="FF000000"/>
        <rFont val="WenQuanYi Zen Hei"/>
        <family val="2"/>
      </rPr>
      <t xml:space="preserve">巴士＋</t>
    </r>
    <r>
      <rPr>
        <sz val="10"/>
        <color rgb="FF000000"/>
        <rFont val="Arial"/>
        <family val="0"/>
        <charset val="1"/>
      </rPr>
      <t xml:space="preserve">JR </t>
    </r>
    <r>
      <rPr>
        <sz val="10"/>
        <color rgb="FF000000"/>
        <rFont val="WenQuanYi Zen Hei"/>
        <family val="2"/>
      </rPr>
      <t xml:space="preserve">仙山線約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分鐘</t>
    </r>
  </si>
  <si>
    <r>
      <rPr>
        <sz val="10"/>
        <color rgb="FF000000"/>
        <rFont val="WenQuanYi Zen Hei"/>
        <family val="2"/>
      </rPr>
      <t xml:space="preserve">爬 </t>
    </r>
    <r>
      <rPr>
        <sz val="10"/>
        <color rgb="FF000000"/>
        <rFont val="Arial"/>
        <family val="0"/>
        <charset val="1"/>
      </rPr>
      <t xml:space="preserve">1,015 </t>
    </r>
    <r>
      <rPr>
        <sz val="10"/>
        <color rgb="FF000000"/>
        <rFont val="WenQuanYi Zen Hei"/>
        <family val="2"/>
      </rPr>
      <t xml:space="preserve">階雪中石梯，要防滑鞋</t>
    </r>
  </si>
  <si>
    <t xml:space="preserve">17:30</t>
  </si>
  <si>
    <t xml:space="preserve">回山形，晚餐吃米澤牛</t>
  </si>
  <si>
    <t xml:space="preserve">住山形站附近</t>
  </si>
  <si>
    <r>
      <rPr>
        <b val="true"/>
        <sz val="10"/>
        <color rgb="FF000000"/>
        <rFont val="Arial"/>
        <family val="0"/>
        <charset val="1"/>
      </rPr>
      <t xml:space="preserve">1/29 </t>
    </r>
    <r>
      <rPr>
        <b val="true"/>
        <sz val="10"/>
        <color rgb="FF000000"/>
        <rFont val="WenQuanYi Zen Hei"/>
        <family val="2"/>
      </rPr>
      <t xml:space="preserve">五</t>
    </r>
  </si>
  <si>
    <t xml:space="preserve">11:00</t>
  </si>
  <si>
    <t xml:space="preserve">山形 → 大石田</t>
  </si>
  <si>
    <r>
      <rPr>
        <sz val="10"/>
        <color rgb="FF000000"/>
        <rFont val="Arial"/>
        <family val="0"/>
        <charset val="1"/>
      </rPr>
      <t xml:space="preserve">JR </t>
    </r>
    <r>
      <rPr>
        <sz val="10"/>
        <color rgb="FF000000"/>
        <rFont val="WenQuanYi Zen Hei"/>
        <family val="2"/>
      </rPr>
      <t xml:space="preserve">奧羽本線或新幹線</t>
    </r>
  </si>
  <si>
    <t xml:space="preserve">13:40</t>
  </si>
  <si>
    <t xml:space="preserve">大石田 → 銀山溫泉</t>
  </si>
  <si>
    <t xml:space="preserve">旅館接送或はながさ巴士（只收現金）</t>
  </si>
  <si>
    <r>
      <rPr>
        <sz val="10"/>
        <color rgb="FF000000"/>
        <rFont val="WenQuanYi Zen Hei"/>
        <family val="2"/>
      </rPr>
      <t xml:space="preserve">♨ 住銀山溫泉（已訂）；</t>
    </r>
    <r>
      <rPr>
        <sz val="10"/>
        <color rgb="FF000000"/>
        <rFont val="Arial"/>
        <family val="0"/>
        <charset val="1"/>
      </rPr>
      <t xml:space="preserve">16:45 </t>
    </r>
    <r>
      <rPr>
        <sz val="10"/>
        <color rgb="FF000000"/>
        <rFont val="WenQuanYi Zen Hei"/>
        <family val="2"/>
      </rPr>
      <t xml:space="preserve">藍調時刻拍瓦斯燈</t>
    </r>
  </si>
  <si>
    <r>
      <rPr>
        <b val="true"/>
        <sz val="10"/>
        <color rgb="FF000000"/>
        <rFont val="Arial"/>
        <family val="0"/>
        <charset val="1"/>
      </rPr>
      <t xml:space="preserve">1/30 </t>
    </r>
    <r>
      <rPr>
        <b val="true"/>
        <sz val="10"/>
        <color rgb="FF000000"/>
        <rFont val="WenQuanYi Zen Hei"/>
        <family val="2"/>
      </rPr>
      <t xml:space="preserve">六</t>
    </r>
  </si>
  <si>
    <t xml:space="preserve">06:30</t>
  </si>
  <si>
    <t xml:space="preserve">清晨溫泉街拍照</t>
  </si>
  <si>
    <t xml:space="preserve">人最少的時段</t>
  </si>
  <si>
    <t xml:space="preserve">銀山溫泉 → 大石田 → 東京</t>
  </si>
  <si>
    <r>
      <rPr>
        <sz val="10"/>
        <color rgb="FF000000"/>
        <rFont val="WenQuanYi Zen Hei"/>
        <family val="2"/>
      </rPr>
      <t xml:space="preserve">新幹線翼號約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小時，</t>
    </r>
    <r>
      <rPr>
        <sz val="10"/>
        <color rgb="FF000000"/>
        <rFont val="Arial"/>
        <family val="0"/>
        <charset val="1"/>
      </rPr>
      <t xml:space="preserve">¥12,780</t>
    </r>
  </si>
  <si>
    <r>
      <rPr>
        <sz val="10"/>
        <color rgb="FF000000"/>
        <rFont val="WenQuanYi Zen Hei"/>
        <family val="2"/>
      </rPr>
      <t xml:space="preserve">大件行李可以從旅館用宅急便寄到東京飯店（約 </t>
    </r>
    <r>
      <rPr>
        <sz val="10"/>
        <color rgb="FF000000"/>
        <rFont val="Arial"/>
        <family val="0"/>
        <charset val="1"/>
      </rPr>
      <t xml:space="preserve">¥2,000–3,700</t>
    </r>
    <r>
      <rPr>
        <sz val="10"/>
        <color rgb="FF000000"/>
        <rFont val="WenQuanYi Zen Hei"/>
        <family val="2"/>
      </rPr>
      <t xml:space="preserve">）</t>
    </r>
  </si>
  <si>
    <t xml:space="preserve">15:30</t>
  </si>
  <si>
    <t xml:space="preserve">抵達東京</t>
  </si>
  <si>
    <r>
      <rPr>
        <sz val="10"/>
        <color rgb="FF000000"/>
        <rFont val="WenQuanYi Zen Hei"/>
        <family val="2"/>
      </rPr>
      <t xml:space="preserve">住上野／日暮里一帶，回程搭 </t>
    </r>
    <r>
      <rPr>
        <sz val="10"/>
        <color rgb="FF000000"/>
        <rFont val="Arial"/>
        <family val="0"/>
        <charset val="1"/>
      </rPr>
      <t xml:space="preserve">Skyliner </t>
    </r>
    <r>
      <rPr>
        <sz val="10"/>
        <color rgb="FF000000"/>
        <rFont val="WenQuanYi Zen Hei"/>
        <family val="2"/>
      </rPr>
      <t xml:space="preserve">最方便</t>
    </r>
  </si>
  <si>
    <r>
      <rPr>
        <b val="true"/>
        <sz val="10"/>
        <color rgb="FF000000"/>
        <rFont val="Arial"/>
        <family val="0"/>
        <charset val="1"/>
      </rPr>
      <t xml:space="preserve">1/31 </t>
    </r>
    <r>
      <rPr>
        <b val="true"/>
        <sz val="10"/>
        <color rgb="FF000000"/>
        <rFont val="WenQuanYi Zen Hei"/>
        <family val="2"/>
      </rPr>
      <t xml:space="preserve">日</t>
    </r>
  </si>
  <si>
    <t xml:space="preserve">全天</t>
  </si>
  <si>
    <t xml:space="preserve">東京自由行</t>
  </si>
  <si>
    <t xml:space="preserve">淺草、晴空塔、上野、銀座等</t>
  </si>
  <si>
    <r>
      <rPr>
        <b val="true"/>
        <sz val="10"/>
        <color rgb="FF000000"/>
        <rFont val="Arial"/>
        <family val="0"/>
        <charset val="1"/>
      </rPr>
      <t xml:space="preserve">2/1 </t>
    </r>
    <r>
      <rPr>
        <b val="true"/>
        <sz val="10"/>
        <color rgb="FF000000"/>
        <rFont val="WenQuanYi Zen Hei"/>
        <family val="2"/>
      </rPr>
      <t xml:space="preserve">一</t>
    </r>
  </si>
  <si>
    <t xml:space="preserve">上午</t>
  </si>
  <si>
    <t xml:space="preserve">東京半天、買伴手禮</t>
  </si>
  <si>
    <t xml:space="preserve">上野／日暮里 → 成田</t>
  </si>
  <si>
    <r>
      <rPr>
        <sz val="10"/>
        <color rgb="FF000000"/>
        <rFont val="Arial"/>
        <family val="0"/>
        <charset val="1"/>
      </rPr>
      <t xml:space="preserve">Skyliner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45 </t>
    </r>
    <r>
      <rPr>
        <sz val="10"/>
        <color rgb="FF000000"/>
        <rFont val="WenQuanYi Zen Hei"/>
        <family val="2"/>
      </rPr>
      <t xml:space="preserve">分鐘，約 </t>
    </r>
    <r>
      <rPr>
        <sz val="10"/>
        <color rgb="FF000000"/>
        <rFont val="Arial"/>
        <family val="0"/>
        <charset val="1"/>
      </rPr>
      <t xml:space="preserve">¥2,500</t>
    </r>
  </si>
  <si>
    <r>
      <rPr>
        <sz val="10"/>
        <color rgb="FF000000"/>
        <rFont val="WenQuanYi Zen Hei"/>
        <family val="2"/>
      </rPr>
      <t xml:space="preserve">最晚 </t>
    </r>
    <r>
      <rPr>
        <sz val="10"/>
        <color rgb="FF000000"/>
        <rFont val="Arial"/>
        <family val="0"/>
        <charset val="1"/>
      </rPr>
      <t xml:space="preserve">16:15 </t>
    </r>
    <r>
      <rPr>
        <sz val="10"/>
        <color rgb="FF000000"/>
        <rFont val="WenQuanYi Zen Hei"/>
        <family val="2"/>
      </rPr>
      <t xml:space="preserve">到機場報到</t>
    </r>
  </si>
  <si>
    <t xml:space="preserve">18:15</t>
  </si>
  <si>
    <r>
      <rPr>
        <sz val="10"/>
        <color rgb="FF000000"/>
        <rFont val="WenQuanYi Zen Hei"/>
        <family val="2"/>
      </rPr>
      <t xml:space="preserve">泰國獅航 </t>
    </r>
    <r>
      <rPr>
        <sz val="10"/>
        <color rgb="FF000000"/>
        <rFont val="Arial"/>
        <family val="0"/>
        <charset val="1"/>
      </rPr>
      <t xml:space="preserve">SL </t>
    </r>
    <r>
      <rPr>
        <sz val="10"/>
        <color rgb="FF000000"/>
        <rFont val="WenQuanYi Zen Hei"/>
        <family val="2"/>
      </rPr>
      <t xml:space="preserve">成田 → 桃園 </t>
    </r>
    <r>
      <rPr>
        <sz val="10"/>
        <color rgb="FF000000"/>
        <rFont val="Arial"/>
        <family val="0"/>
        <charset val="1"/>
      </rPr>
      <t xml:space="preserve">21:10</t>
    </r>
  </si>
  <si>
    <t xml:space="preserve">托運行李要在訂票時一起買</t>
  </si>
  <si>
    <r>
      <rPr>
        <sz val="10"/>
        <color rgb="FF5F7285"/>
        <rFont val="WenQuanYi Zen Hei"/>
        <family val="2"/>
      </rPr>
      <t xml:space="preserve">方案 ③ 仙台進、東京出：</t>
    </r>
    <r>
      <rPr>
        <sz val="10"/>
        <color rgb="FF5F7285"/>
        <rFont val="Arial"/>
        <family val="0"/>
        <charset val="1"/>
      </rPr>
      <t xml:space="preserve">1/27 </t>
    </r>
    <r>
      <rPr>
        <sz val="10"/>
        <color rgb="FF5F7285"/>
        <rFont val="WenQuanYi Zen Hei"/>
        <family val="2"/>
      </rPr>
      <t xml:space="preserve">星宇 </t>
    </r>
    <r>
      <rPr>
        <sz val="10"/>
        <color rgb="FF5F7285"/>
        <rFont val="Arial"/>
        <family val="0"/>
        <charset val="1"/>
      </rPr>
      <t xml:space="preserve">11:50 → 16:00 </t>
    </r>
    <r>
      <rPr>
        <sz val="10"/>
        <color rgb="FF5F7285"/>
        <rFont val="WenQuanYi Zen Hei"/>
        <family val="2"/>
      </rPr>
      <t xml:space="preserve">到仙台，住仙台；</t>
    </r>
    <r>
      <rPr>
        <sz val="10"/>
        <color rgb="FF5F7285"/>
        <rFont val="Arial"/>
        <family val="0"/>
        <charset val="1"/>
      </rPr>
      <t xml:space="preserve">1/28 </t>
    </r>
    <r>
      <rPr>
        <sz val="10"/>
        <color rgb="FF5F7285"/>
        <rFont val="WenQuanYi Zen Hei"/>
        <family val="2"/>
      </rPr>
      <t xml:space="preserve">仙台 → 山寺 → 藏王；</t>
    </r>
    <r>
      <rPr>
        <sz val="10"/>
        <color rgb="FF5F7285"/>
        <rFont val="Arial"/>
        <family val="0"/>
        <charset val="1"/>
      </rPr>
      <t xml:space="preserve">1/29 </t>
    </r>
    <r>
      <rPr>
        <sz val="10"/>
        <color rgb="FF5F7285"/>
        <rFont val="WenQuanYi Zen Hei"/>
        <family val="2"/>
      </rPr>
      <t xml:space="preserve">早上看樹冰 → 銀山溫泉；</t>
    </r>
    <r>
      <rPr>
        <sz val="10"/>
        <color rgb="FF5F7285"/>
        <rFont val="Arial"/>
        <family val="0"/>
        <charset val="1"/>
      </rPr>
      <t xml:space="preserve">1/30 </t>
    </r>
    <r>
      <rPr>
        <sz val="10"/>
        <color rgb="FF5F7285"/>
        <rFont val="WenQuanYi Zen Hei"/>
        <family val="2"/>
      </rPr>
      <t xml:space="preserve">起和方案 ① 一樣。</t>
    </r>
  </si>
  <si>
    <r>
      <rPr>
        <b val="true"/>
        <sz val="13"/>
        <color rgb="FF000000"/>
        <rFont val="WenQuanYi Zen Hei"/>
        <family val="2"/>
      </rPr>
      <t xml:space="preserve">仙台進出：目前還買得到的直飛（</t>
    </r>
    <r>
      <rPr>
        <b val="true"/>
        <sz val="13"/>
        <color rgb="FF000000"/>
        <rFont val="Arial"/>
        <family val="0"/>
        <charset val="1"/>
      </rPr>
      <t xml:space="preserve">Google Flights 2026/10/10</t>
    </r>
    <r>
      <rPr>
        <b val="true"/>
        <sz val="13"/>
        <color rgb="FF000000"/>
        <rFont val="WenQuanYi Zen Hei"/>
        <family val="2"/>
      </rPr>
      <t xml:space="preserve">，每人單程含稅，新台幣）</t>
    </r>
  </si>
  <si>
    <r>
      <rPr>
        <sz val="10"/>
        <color rgb="FF5F7285"/>
        <rFont val="WenQuanYi Zen Hei"/>
        <family val="2"/>
      </rPr>
      <t xml:space="preserve">去程查 </t>
    </r>
    <r>
      <rPr>
        <sz val="10"/>
        <color rgb="FF5F7285"/>
        <rFont val="Arial"/>
        <family val="0"/>
        <charset val="1"/>
      </rPr>
      <t xml:space="preserve">1/22–1/28</t>
    </r>
    <r>
      <rPr>
        <sz val="10"/>
        <color rgb="FF5F7285"/>
        <rFont val="WenQuanYi Zen Hei"/>
        <family val="2"/>
      </rPr>
      <t xml:space="preserve">、回程查 </t>
    </r>
    <r>
      <rPr>
        <sz val="10"/>
        <color rgb="FF5F7285"/>
        <rFont val="Arial"/>
        <family val="0"/>
        <charset val="1"/>
      </rPr>
      <t xml:space="preserve">1/30–2/3</t>
    </r>
    <r>
      <rPr>
        <sz val="10"/>
        <color rgb="FF5F7285"/>
        <rFont val="WenQuanYi Zen Hei"/>
        <family val="2"/>
      </rPr>
      <t xml:space="preserve">。紅底＝只剩商務艙或已售完；沒列出的日期＝當天沒有直飛。航空公司不公開剩餘座位數；星宇官網 </t>
    </r>
    <r>
      <rPr>
        <sz val="10"/>
        <color rgb="FF5F7285"/>
        <rFont val="Arial"/>
        <family val="0"/>
        <charset val="1"/>
      </rPr>
      <t xml:space="preserve">1/28–2/3 </t>
    </r>
    <r>
      <rPr>
        <sz val="10"/>
        <color rgb="FF5F7285"/>
        <rFont val="WenQuanYi Zen Hei"/>
        <family val="2"/>
      </rPr>
      <t xml:space="preserve">仙台回程經濟艙全部售完。虎航不含托運行李（</t>
    </r>
    <r>
      <rPr>
        <sz val="10"/>
        <color rgb="FF5F7285"/>
        <rFont val="Arial"/>
        <family val="0"/>
        <charset val="1"/>
      </rPr>
      <t xml:space="preserve">20kg </t>
    </r>
    <r>
      <rPr>
        <sz val="10"/>
        <color rgb="FF5F7285"/>
        <rFont val="WenQuanYi Zen Hei"/>
        <family val="2"/>
      </rPr>
      <t xml:space="preserve">訂票時加購 </t>
    </r>
    <r>
      <rPr>
        <sz val="10"/>
        <color rgb="FF5F7285"/>
        <rFont val="Arial"/>
        <family val="0"/>
        <charset val="1"/>
      </rPr>
      <t xml:space="preserve">NT$950</t>
    </r>
    <r>
      <rPr>
        <sz val="10"/>
        <color rgb="FF5F7285"/>
        <rFont val="WenQuanYi Zen Hei"/>
        <family val="2"/>
      </rPr>
      <t xml:space="preserve">）。</t>
    </r>
  </si>
  <si>
    <t xml:space="preserve">方向</t>
  </si>
  <si>
    <t xml:space="preserve">備註</t>
  </si>
  <si>
    <r>
      <rPr>
        <sz val="10"/>
        <color rgb="FF000000"/>
        <rFont val="Arial"/>
        <family val="0"/>
        <charset val="1"/>
      </rPr>
      <t xml:space="preserve">1/22 </t>
    </r>
    <r>
      <rPr>
        <sz val="10"/>
        <color rgb="FF000000"/>
        <rFont val="WenQuanYi Zen Hei"/>
        <family val="2"/>
      </rPr>
      <t xml:space="preserve">五</t>
    </r>
  </si>
  <si>
    <t xml:space="preserve">經濟艙售完</t>
  </si>
  <si>
    <r>
      <rPr>
        <sz val="10"/>
        <color rgb="FF000000"/>
        <rFont val="Arial"/>
        <family val="0"/>
        <charset val="1"/>
      </rPr>
      <t xml:space="preserve">1/23 </t>
    </r>
    <r>
      <rPr>
        <sz val="10"/>
        <color rgb="FF000000"/>
        <rFont val="WenQuanYi Zen Hei"/>
        <family val="2"/>
      </rPr>
      <t xml:space="preserve">六</t>
    </r>
  </si>
  <si>
    <r>
      <rPr>
        <sz val="10"/>
        <color rgb="FF000000"/>
        <rFont val="Arial"/>
        <family val="0"/>
        <charset val="1"/>
      </rPr>
      <t xml:space="preserve">1/24 </t>
    </r>
    <r>
      <rPr>
        <sz val="10"/>
        <color rgb="FF000000"/>
        <rFont val="WenQuanYi Zen Hei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</si>
  <si>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1/25 </t>
    </r>
    <r>
      <rPr>
        <sz val="10"/>
        <color rgb="FF000000"/>
        <rFont val="WenQuanYi Zen Hei"/>
        <family val="2"/>
      </rPr>
      <t xml:space="preserve">一</t>
    </r>
  </si>
  <si>
    <t xml:space="preserve">星宇官網：只剩「全額」票價，便宜票價已售完，快滿了</t>
  </si>
  <si>
    <t xml:space="preserve">含行李</t>
  </si>
  <si>
    <r>
      <rPr>
        <sz val="10"/>
        <color rgb="FF000000"/>
        <rFont val="WenQuanYi Zen Hei"/>
        <family val="2"/>
      </rPr>
      <t xml:space="preserve">星宇官網：超值 </t>
    </r>
    <r>
      <rPr>
        <sz val="10"/>
        <color rgb="FF000000"/>
        <rFont val="Arial"/>
        <family val="0"/>
        <charset val="1"/>
      </rPr>
      <t xml:space="preserve">15,733</t>
    </r>
    <r>
      <rPr>
        <sz val="10"/>
        <color rgb="FF000000"/>
        <rFont val="WenQuanYi Zen Hei"/>
        <family val="2"/>
      </rPr>
      <t xml:space="preserve">／基本 </t>
    </r>
    <r>
      <rPr>
        <sz val="10"/>
        <color rgb="FF000000"/>
        <rFont val="Arial"/>
        <family val="0"/>
        <charset val="1"/>
      </rPr>
      <t xml:space="preserve">17,480</t>
    </r>
    <r>
      <rPr>
        <sz val="10"/>
        <color rgb="FF000000"/>
        <rFont val="WenQuanYi Zen Hei"/>
        <family val="2"/>
      </rPr>
      <t xml:space="preserve">／全額 </t>
    </r>
    <r>
      <rPr>
        <sz val="10"/>
        <color rgb="FF000000"/>
        <rFont val="Arial"/>
        <family val="0"/>
        <charset val="1"/>
      </rPr>
      <t xml:space="preserve">22,784 </t>
    </r>
    <r>
      <rPr>
        <sz val="10"/>
        <color rgb="FF000000"/>
        <rFont val="WenQuanYi Zen Hei"/>
        <family val="2"/>
      </rPr>
      <t xml:space="preserve">三種票價都還有，座位最充足</t>
    </r>
  </si>
  <si>
    <t xml:space="preserve">含行李；最早抵達</t>
  </si>
  <si>
    <t xml:space="preserve">去程最便宜</t>
  </si>
  <si>
    <t xml:space="preserve">星宇官網：只剩「全額」票價，快滿了</t>
  </si>
  <si>
    <t xml:space="preserve">售完</t>
  </si>
  <si>
    <t xml:space="preserve">星宇官網：整班已售完（含商務艙）</t>
  </si>
  <si>
    <t xml:space="preserve">星宇官網：經濟艙已售完</t>
  </si>
  <si>
    <t xml:space="preserve">回程唯一的平價選擇；落地晚</t>
  </si>
  <si>
    <t xml:space="preserve">可行的組合（經濟艙去回）</t>
  </si>
  <si>
    <t xml:space="preserve">組合</t>
  </si>
  <si>
    <t xml:space="preserve">去程價</t>
  </si>
  <si>
    <t xml:space="preserve">回程價</t>
  </si>
  <si>
    <t xml:space="preserve">行李加購</t>
  </si>
  <si>
    <t xml:space="preserve">機票合計</t>
  </si>
  <si>
    <t xml:space="preserve">說明</t>
  </si>
  <si>
    <t xml:space="preserve">Ⓐ 虎航去＋虎航回（最便宜）</t>
  </si>
  <si>
    <r>
      <rPr>
        <sz val="10"/>
        <color rgb="FF000000"/>
        <rFont val="Arial"/>
        <family val="0"/>
        <charset val="1"/>
      </rPr>
      <t xml:space="preserve">1/28 </t>
    </r>
    <r>
      <rPr>
        <sz val="10"/>
        <color rgb="FF000000"/>
        <rFont val="WenQuanYi Zen Hei"/>
        <family val="2"/>
      </rPr>
      <t xml:space="preserve">四 虎航 </t>
    </r>
    <r>
      <rPr>
        <sz val="10"/>
        <color rgb="FF000000"/>
        <rFont val="Arial"/>
        <family val="0"/>
        <charset val="1"/>
      </rPr>
      <t xml:space="preserve">14:35</t>
    </r>
  </si>
  <si>
    <r>
      <rPr>
        <sz val="10"/>
        <color rgb="FF000000"/>
        <rFont val="Arial"/>
        <family val="0"/>
        <charset val="1"/>
      </rPr>
      <t xml:space="preserve">2/2 </t>
    </r>
    <r>
      <rPr>
        <sz val="10"/>
        <color rgb="FF000000"/>
        <rFont val="WenQuanYi Zen Hei"/>
        <family val="2"/>
      </rPr>
      <t xml:space="preserve">二 虎航 </t>
    </r>
    <r>
      <rPr>
        <sz val="10"/>
        <color rgb="FF000000"/>
        <rFont val="Arial"/>
        <family val="0"/>
        <charset val="1"/>
      </rPr>
      <t xml:space="preserve">19:40</t>
    </r>
  </si>
  <si>
    <r>
      <rPr>
        <sz val="10"/>
        <color rgb="FF000000"/>
        <rFont val="WenQuanYi Zen Hei"/>
        <family val="2"/>
      </rPr>
      <t xml:space="preserve">最便宜；但去程下午、回程 </t>
    </r>
    <r>
      <rPr>
        <sz val="10"/>
        <color rgb="FF000000"/>
        <rFont val="Arial"/>
        <family val="0"/>
        <charset val="1"/>
      </rPr>
      <t xml:space="preserve">23:00 </t>
    </r>
    <r>
      <rPr>
        <sz val="10"/>
        <color rgb="FF000000"/>
        <rFont val="WenQuanYi Zen Hei"/>
        <family val="2"/>
      </rPr>
      <t xml:space="preserve">落地</t>
    </r>
  </si>
  <si>
    <t xml:space="preserve">Ⓑ 虎航去＋長榮回（推薦）</t>
  </si>
  <si>
    <r>
      <rPr>
        <sz val="10"/>
        <color rgb="FF000000"/>
        <rFont val="Arial"/>
        <family val="0"/>
        <charset val="1"/>
      </rPr>
      <t xml:space="preserve">2/2 </t>
    </r>
    <r>
      <rPr>
        <sz val="10"/>
        <color rgb="FF000000"/>
        <rFont val="WenQuanYi Zen Hei"/>
        <family val="2"/>
      </rPr>
      <t xml:space="preserve">二 長榮 </t>
    </r>
    <r>
      <rPr>
        <sz val="10"/>
        <color rgb="FF000000"/>
        <rFont val="Arial"/>
        <family val="0"/>
        <charset val="1"/>
      </rPr>
      <t xml:space="preserve">16:15</t>
    </r>
  </si>
  <si>
    <r>
      <rPr>
        <sz val="10"/>
        <color rgb="FF000000"/>
        <rFont val="WenQuanYi Zen Hei"/>
        <family val="2"/>
      </rPr>
      <t xml:space="preserve">請假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天；</t>
    </r>
    <r>
      <rPr>
        <sz val="10"/>
        <color rgb="FF000000"/>
        <rFont val="Arial"/>
        <family val="0"/>
        <charset val="1"/>
      </rPr>
      <t xml:space="preserve">19:30 </t>
    </r>
    <r>
      <rPr>
        <sz val="10"/>
        <color rgb="FF000000"/>
        <rFont val="WenQuanYi Zen Hei"/>
        <family val="2"/>
      </rPr>
      <t xml:space="preserve">落地，可以搭捷運回家</t>
    </r>
  </si>
  <si>
    <t xml:space="preserve">Ⓒ 星宇去＋長榮回</t>
  </si>
  <si>
    <r>
      <rPr>
        <sz val="10"/>
        <color rgb="FF000000"/>
        <rFont val="Arial"/>
        <family val="0"/>
        <charset val="1"/>
      </rPr>
      <t xml:space="preserve">1/28 </t>
    </r>
    <r>
      <rPr>
        <sz val="10"/>
        <color rgb="FF000000"/>
        <rFont val="WenQuanYi Zen Hei"/>
        <family val="2"/>
      </rPr>
      <t xml:space="preserve">四 星宇 </t>
    </r>
    <r>
      <rPr>
        <sz val="10"/>
        <color rgb="FF000000"/>
        <rFont val="Arial"/>
        <family val="0"/>
        <charset val="1"/>
      </rPr>
      <t xml:space="preserve">11:50</t>
    </r>
  </si>
  <si>
    <t xml:space="preserve">兩段都含行李，去程比較早</t>
  </si>
  <si>
    <t xml:space="preserve">Ⓓ 星宇去＋虎航回（早去）</t>
  </si>
  <si>
    <r>
      <rPr>
        <sz val="10"/>
        <color rgb="FF000000"/>
        <rFont val="Arial"/>
        <family val="0"/>
        <charset val="1"/>
      </rPr>
      <t xml:space="preserve">1/27 </t>
    </r>
    <r>
      <rPr>
        <sz val="10"/>
        <color rgb="FF000000"/>
        <rFont val="WenQuanYi Zen Hei"/>
        <family val="2"/>
      </rPr>
      <t xml:space="preserve">三 星宇 </t>
    </r>
    <r>
      <rPr>
        <sz val="10"/>
        <color rgb="FF000000"/>
        <rFont val="Arial"/>
        <family val="0"/>
        <charset val="1"/>
      </rPr>
      <t xml:space="preserve">11:50</t>
    </r>
  </si>
  <si>
    <r>
      <rPr>
        <sz val="10"/>
        <color rgb="FF000000"/>
        <rFont val="WenQuanYi Zen Hei"/>
        <family val="2"/>
      </rPr>
      <t xml:space="preserve">多請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天，換到便宜的早一點出發</t>
    </r>
  </si>
  <si>
    <t xml:space="preserve">Ⓔ 長榮去＋長榮回（早去）</t>
  </si>
  <si>
    <r>
      <rPr>
        <sz val="10"/>
        <color rgb="FF000000"/>
        <rFont val="Arial"/>
        <family val="0"/>
        <charset val="1"/>
      </rPr>
      <t xml:space="preserve">1/27 </t>
    </r>
    <r>
      <rPr>
        <sz val="10"/>
        <color rgb="FF000000"/>
        <rFont val="WenQuanYi Zen Hei"/>
        <family val="2"/>
      </rPr>
      <t xml:space="preserve">三 長榮 </t>
    </r>
    <r>
      <rPr>
        <sz val="10"/>
        <color rgb="FF000000"/>
        <rFont val="Arial"/>
        <family val="0"/>
        <charset val="1"/>
      </rPr>
      <t xml:space="preserve">10:15</t>
    </r>
  </si>
  <si>
    <r>
      <rPr>
        <sz val="10"/>
        <color rgb="FF000000"/>
        <rFont val="WenQuanYi Zen Hei"/>
        <family val="2"/>
      </rPr>
      <t xml:space="preserve">最早抵達、全程含行李，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天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夜</t>
    </r>
  </si>
  <si>
    <r>
      <rPr>
        <sz val="10"/>
        <color rgb="FF000000"/>
        <rFont val="WenQuanYi Zen Hei"/>
        <family val="2"/>
      </rPr>
      <t xml:space="preserve">Ⓕ 星宇去＋</t>
    </r>
    <r>
      <rPr>
        <sz val="10"/>
        <color rgb="FF000000"/>
        <rFont val="Arial"/>
        <family val="0"/>
        <charset val="1"/>
      </rPr>
      <t xml:space="preserve">1/31 </t>
    </r>
    <r>
      <rPr>
        <sz val="10"/>
        <color rgb="FF000000"/>
        <rFont val="WenQuanYi Zen Hei"/>
        <family val="2"/>
      </rPr>
      <t xml:space="preserve">商務艙回</t>
    </r>
  </si>
  <si>
    <r>
      <rPr>
        <sz val="10"/>
        <color rgb="FF000000"/>
        <rFont val="Arial"/>
        <family val="0"/>
        <charset val="1"/>
      </rPr>
      <t xml:space="preserve">1/31 </t>
    </r>
    <r>
      <rPr>
        <sz val="10"/>
        <color rgb="FF000000"/>
        <rFont val="WenQuanYi Zen Hei"/>
        <family val="2"/>
      </rPr>
      <t xml:space="preserve">日 長榮商務 </t>
    </r>
    <r>
      <rPr>
        <sz val="10"/>
        <color rgb="FF000000"/>
        <rFont val="Arial"/>
        <family val="0"/>
        <charset val="1"/>
      </rPr>
      <t xml:space="preserve">16:15</t>
    </r>
  </si>
  <si>
    <t xml:space="preserve">維持原本日期，但回程只剩商務艙</t>
  </si>
  <si>
    <r>
      <rPr>
        <b val="true"/>
        <sz val="12"/>
        <color rgb="FF000000"/>
        <rFont val="WenQuanYi Zen Hei"/>
        <family val="2"/>
      </rPr>
      <t xml:space="preserve">Ⓑ 行程：</t>
    </r>
    <r>
      <rPr>
        <b val="true"/>
        <sz val="12"/>
        <color rgb="FF000000"/>
        <rFont val="Arial"/>
        <family val="0"/>
        <charset val="1"/>
      </rPr>
      <t xml:space="preserve">1/28 </t>
    </r>
    <r>
      <rPr>
        <b val="true"/>
        <sz val="12"/>
        <color rgb="FF000000"/>
        <rFont val="WenQuanYi Zen Hei"/>
        <family val="2"/>
      </rPr>
      <t xml:space="preserve">四 – </t>
    </r>
    <r>
      <rPr>
        <b val="true"/>
        <sz val="12"/>
        <color rgb="FF000000"/>
        <rFont val="Arial"/>
        <family val="0"/>
        <charset val="1"/>
      </rPr>
      <t xml:space="preserve">2/2 </t>
    </r>
    <r>
      <rPr>
        <b val="true"/>
        <sz val="12"/>
        <color rgb="FF000000"/>
        <rFont val="WenQuanYi Zen Hei"/>
        <family val="2"/>
      </rPr>
      <t xml:space="preserve">二（</t>
    </r>
    <r>
      <rPr>
        <b val="true"/>
        <sz val="12"/>
        <color rgb="FF000000"/>
        <rFont val="Arial"/>
        <family val="0"/>
        <charset val="1"/>
      </rPr>
      <t xml:space="preserve">6 </t>
    </r>
    <r>
      <rPr>
        <b val="true"/>
        <sz val="12"/>
        <color rgb="FF000000"/>
        <rFont val="WenQuanYi Zen Hei"/>
        <family val="2"/>
      </rPr>
      <t xml:space="preserve">天 </t>
    </r>
    <r>
      <rPr>
        <b val="true"/>
        <sz val="12"/>
        <color rgb="FF000000"/>
        <rFont val="Arial"/>
        <family val="0"/>
        <charset val="1"/>
      </rPr>
      <t xml:space="preserve">5 </t>
    </r>
    <r>
      <rPr>
        <b val="true"/>
        <sz val="12"/>
        <color rgb="FF000000"/>
        <rFont val="WenQuanYi Zen Hei"/>
        <family val="2"/>
      </rPr>
      <t xml:space="preserve">夜，請假 </t>
    </r>
    <r>
      <rPr>
        <b val="true"/>
        <sz val="12"/>
        <color rgb="FF000000"/>
        <rFont val="Arial"/>
        <family val="0"/>
        <charset val="1"/>
      </rPr>
      <t xml:space="preserve">1/28</t>
    </r>
    <r>
      <rPr>
        <b val="true"/>
        <sz val="12"/>
        <color rgb="FF000000"/>
        <rFont val="WenQuanYi Zen Hei"/>
        <family val="2"/>
      </rPr>
      <t xml:space="preserve">、</t>
    </r>
    <r>
      <rPr>
        <b val="true"/>
        <sz val="12"/>
        <color rgb="FF000000"/>
        <rFont val="Arial"/>
        <family val="0"/>
        <charset val="1"/>
      </rPr>
      <t xml:space="preserve">1/29</t>
    </r>
    <r>
      <rPr>
        <b val="true"/>
        <sz val="12"/>
        <color rgb="FF000000"/>
        <rFont val="WenQuanYi Zen Hei"/>
        <family val="2"/>
      </rPr>
      <t xml:space="preserve">、</t>
    </r>
    <r>
      <rPr>
        <b val="true"/>
        <sz val="12"/>
        <color rgb="FF000000"/>
        <rFont val="Arial"/>
        <family val="0"/>
        <charset val="1"/>
      </rPr>
      <t xml:space="preserve">2/1</t>
    </r>
    <r>
      <rPr>
        <b val="true"/>
        <sz val="12"/>
        <color rgb="FF000000"/>
        <rFont val="WenQuanYi Zen Hei"/>
        <family val="2"/>
      </rPr>
      <t xml:space="preserve">、</t>
    </r>
    <r>
      <rPr>
        <b val="true"/>
        <sz val="12"/>
        <color rgb="FF000000"/>
        <rFont val="Arial"/>
        <family val="0"/>
        <charset val="1"/>
      </rPr>
      <t xml:space="preserve">2/2</t>
    </r>
    <r>
      <rPr>
        <b val="true"/>
        <sz val="12"/>
        <color rgb="FF000000"/>
        <rFont val="WenQuanYi Zen Hei"/>
        <family val="2"/>
      </rPr>
      <t xml:space="preserve">）</t>
    </r>
  </si>
  <si>
    <t xml:space="preserve">住宿</t>
  </si>
  <si>
    <r>
      <rPr>
        <sz val="10"/>
        <color rgb="FF000000"/>
        <rFont val="WenQuanYi Zen Hei"/>
        <family val="2"/>
      </rPr>
      <t xml:space="preserve">虎航 </t>
    </r>
    <r>
      <rPr>
        <sz val="10"/>
        <color rgb="FF000000"/>
        <rFont val="Arial"/>
        <family val="0"/>
        <charset val="1"/>
      </rPr>
      <t xml:space="preserve">14:35 </t>
    </r>
    <r>
      <rPr>
        <sz val="10"/>
        <color rgb="FF000000"/>
        <rFont val="WenQuanYi Zen Hei"/>
        <family val="2"/>
      </rPr>
      <t xml:space="preserve">桃園 → </t>
    </r>
    <r>
      <rPr>
        <sz val="10"/>
        <color rgb="FF000000"/>
        <rFont val="Arial"/>
        <family val="0"/>
        <charset val="1"/>
      </rPr>
      <t xml:space="preserve">18:45 </t>
    </r>
    <r>
      <rPr>
        <sz val="10"/>
        <color rgb="FF000000"/>
        <rFont val="WenQuanYi Zen Hei"/>
        <family val="2"/>
      </rPr>
      <t xml:space="preserve">仙台 → 仙台機場線到仙台站，晚餐吃牛舌</t>
    </r>
  </si>
  <si>
    <t xml:space="preserve">仙台</t>
  </si>
  <si>
    <r>
      <rPr>
        <sz val="10"/>
        <color rgb="FF000000"/>
        <rFont val="WenQuanYi Zen Hei"/>
        <family val="2"/>
      </rPr>
      <t xml:space="preserve">早上 </t>
    </r>
    <r>
      <rPr>
        <sz val="10"/>
        <color rgb="FF000000"/>
        <rFont val="Arial"/>
        <family val="0"/>
        <charset val="1"/>
      </rPr>
      <t xml:space="preserve">JR </t>
    </r>
    <r>
      <rPr>
        <sz val="10"/>
        <color rgb="FF000000"/>
        <rFont val="WenQuanYi Zen Hei"/>
        <family val="2"/>
      </rPr>
      <t xml:space="preserve">仙山線到山寺，爬雪中石階 → 山形 → 大石田 → 下午進銀山溫泉，</t>
    </r>
    <r>
      <rPr>
        <sz val="10"/>
        <color rgb="FF000000"/>
        <rFont val="Arial"/>
        <family val="0"/>
        <charset val="1"/>
      </rPr>
      <t xml:space="preserve">16:45 </t>
    </r>
    <r>
      <rPr>
        <sz val="10"/>
        <color rgb="FF000000"/>
        <rFont val="WenQuanYi Zen Hei"/>
        <family val="2"/>
      </rPr>
      <t xml:space="preserve">拍瓦斯燈藍調時刻</t>
    </r>
  </si>
  <si>
    <t xml:space="preserve">♨ 銀山溫泉（已訂）</t>
  </si>
  <si>
    <t xml:space="preserve">清晨溫泉街拍照 → 大石田 → 山形 → 巴士到藏王溫泉，有點燈的話看樹冰夜景</t>
  </si>
  <si>
    <t xml:space="preserve">藏王溫泉</t>
  </si>
  <si>
    <r>
      <rPr>
        <sz val="10"/>
        <color rgb="FF000000"/>
        <rFont val="WenQuanYi Zen Hei"/>
        <family val="2"/>
      </rPr>
      <t xml:space="preserve">早上搭纜車看樹冰 → 巴士到仙台（約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WenQuanYi Zen Hei"/>
        <family val="2"/>
      </rPr>
      <t xml:space="preserve">小時）或在山形市區逛</t>
    </r>
  </si>
  <si>
    <t xml:space="preserve">仙台（或秋保、作並溫泉）</t>
  </si>
  <si>
    <t xml:space="preserve">松島遊覽船、瑞巖寺、烤牡蠣 → 下午回仙台逛一番町</t>
  </si>
  <si>
    <r>
      <rPr>
        <b val="true"/>
        <sz val="10"/>
        <color rgb="FF000000"/>
        <rFont val="Arial"/>
        <family val="0"/>
        <charset val="1"/>
      </rPr>
      <t xml:space="preserve">2/2 </t>
    </r>
    <r>
      <rPr>
        <b val="true"/>
        <sz val="10"/>
        <color rgb="FF000000"/>
        <rFont val="WenQuanYi Zen Hei"/>
        <family val="2"/>
      </rPr>
      <t xml:space="preserve">二</t>
    </r>
  </si>
  <si>
    <r>
      <rPr>
        <sz val="10"/>
        <color rgb="FF000000"/>
        <rFont val="WenQuanYi Zen Hei"/>
        <family val="2"/>
      </rPr>
      <t xml:space="preserve">仙台市區（仙台城跡、瑞鳳殿）→ </t>
    </r>
    <r>
      <rPr>
        <sz val="10"/>
        <color rgb="FF000000"/>
        <rFont val="Arial"/>
        <family val="0"/>
        <charset val="1"/>
      </rPr>
      <t xml:space="preserve">14:30 </t>
    </r>
    <r>
      <rPr>
        <sz val="10"/>
        <color rgb="FF000000"/>
        <rFont val="WenQuanYi Zen Hei"/>
        <family val="2"/>
      </rPr>
      <t xml:space="preserve">前往機場 → 長榮 </t>
    </r>
    <r>
      <rPr>
        <sz val="10"/>
        <color rgb="FF000000"/>
        <rFont val="Arial"/>
        <family val="0"/>
        <charset val="1"/>
      </rPr>
      <t xml:space="preserve">16:15 </t>
    </r>
    <r>
      <rPr>
        <sz val="10"/>
        <color rgb="FF000000"/>
        <rFont val="WenQuanYi Zen Hei"/>
        <family val="2"/>
      </rPr>
      <t xml:space="preserve">起飛，</t>
    </r>
    <r>
      <rPr>
        <sz val="10"/>
        <color rgb="FF000000"/>
        <rFont val="Arial"/>
        <family val="0"/>
        <charset val="1"/>
      </rPr>
      <t xml:space="preserve">19:30 </t>
    </r>
    <r>
      <rPr>
        <sz val="10"/>
        <color rgb="FF000000"/>
        <rFont val="WenQuanYi Zen Hei"/>
        <family val="2"/>
      </rPr>
      <t xml:space="preserve">抵達桃園</t>
    </r>
  </si>
  <si>
    <r>
      <rPr>
        <b val="true"/>
        <sz val="13"/>
        <color rgb="FF000000"/>
        <rFont val="WenQuanYi Zen Hei"/>
        <family val="2"/>
      </rPr>
      <t xml:space="preserve">仙台進、其他東北機場回（</t>
    </r>
    <r>
      <rPr>
        <b val="true"/>
        <sz val="13"/>
        <color rgb="FF000000"/>
        <rFont val="Arial"/>
        <family val="0"/>
        <charset val="1"/>
      </rPr>
      <t xml:space="preserve">Google Flights 2026/10/10</t>
    </r>
    <r>
      <rPr>
        <b val="true"/>
        <sz val="13"/>
        <color rgb="FF000000"/>
        <rFont val="WenQuanYi Zen Hei"/>
        <family val="2"/>
      </rPr>
      <t xml:space="preserve">，每人單程經濟艙含稅，新台幣）</t>
    </r>
  </si>
  <si>
    <r>
      <rPr>
        <sz val="10"/>
        <color rgb="FF5F7285"/>
        <rFont val="WenQuanYi Zen Hei"/>
        <family val="2"/>
      </rPr>
      <t xml:space="preserve">去程皆以 </t>
    </r>
    <r>
      <rPr>
        <sz val="10"/>
        <color rgb="FF5F7285"/>
        <rFont val="Arial"/>
        <family val="0"/>
        <charset val="1"/>
      </rPr>
      <t xml:space="preserve">1/27</t>
    </r>
    <r>
      <rPr>
        <sz val="10"/>
        <color rgb="FF5F7285"/>
        <rFont val="WenQuanYi Zen Hei"/>
        <family val="2"/>
      </rPr>
      <t xml:space="preserve">（三）星宇 </t>
    </r>
    <r>
      <rPr>
        <sz val="10"/>
        <color rgb="FF5F7285"/>
        <rFont val="Arial"/>
        <family val="0"/>
        <charset val="1"/>
      </rPr>
      <t xml:space="preserve">11:50 </t>
    </r>
    <r>
      <rPr>
        <sz val="10"/>
        <color rgb="FF5F7285"/>
        <rFont val="WenQuanYi Zen Hei"/>
        <family val="2"/>
      </rPr>
      <t xml:space="preserve">桃園→仙台（</t>
    </r>
    <r>
      <rPr>
        <sz val="10"/>
        <color rgb="FF5F7285"/>
        <rFont val="Arial"/>
        <family val="0"/>
        <charset val="1"/>
      </rPr>
      <t xml:space="preserve">NT$15,733</t>
    </r>
    <r>
      <rPr>
        <sz val="10"/>
        <color rgb="FF5F7285"/>
        <rFont val="WenQuanYi Zen Hei"/>
        <family val="2"/>
      </rPr>
      <t xml:space="preserve">，含行李，目前位子最多）計算；也可以改搭長榮 </t>
    </r>
    <r>
      <rPr>
        <sz val="10"/>
        <color rgb="FF5F7285"/>
        <rFont val="Arial"/>
        <family val="0"/>
        <charset val="1"/>
      </rPr>
      <t xml:space="preserve">10:15</t>
    </r>
    <r>
      <rPr>
        <sz val="10"/>
        <color rgb="FF5F7285"/>
        <rFont val="WenQuanYi Zen Hei"/>
        <family val="2"/>
      </rPr>
      <t xml:space="preserve">（</t>
    </r>
    <r>
      <rPr>
        <sz val="10"/>
        <color rgb="FF5F7285"/>
        <rFont val="Arial"/>
        <family val="0"/>
        <charset val="1"/>
      </rPr>
      <t xml:space="preserve">NT$17,781</t>
    </r>
    <r>
      <rPr>
        <sz val="10"/>
        <color rgb="FF5F7285"/>
        <rFont val="WenQuanYi Zen Hei"/>
        <family val="2"/>
      </rPr>
      <t xml:space="preserve">）。福島、山形機場 </t>
    </r>
    <r>
      <rPr>
        <sz val="10"/>
        <color rgb="FF5F7285"/>
        <rFont val="Arial"/>
        <family val="0"/>
        <charset val="1"/>
      </rPr>
      <t xml:space="preserve">1/30–2/1 </t>
    </r>
    <r>
      <rPr>
        <sz val="10"/>
        <color rgb="FF5F7285"/>
        <rFont val="WenQuanYi Zen Hei"/>
        <family val="2"/>
      </rPr>
      <t xml:space="preserve">沒有直飛。陸路交通為估計值。</t>
    </r>
  </si>
  <si>
    <t xml:space="preserve">回程航班</t>
  </si>
  <si>
    <t xml:space="preserve">陸路交通（日圓，估）</t>
  </si>
  <si>
    <t xml:space="preserve">旅遊天數</t>
  </si>
  <si>
    <r>
      <rPr>
        <sz val="10"/>
        <color rgb="FF000000"/>
        <rFont val="WenQuanYi Zen Hei"/>
        <family val="2"/>
      </rPr>
      <t xml:space="preserve">Ⓐ 秋田回（</t>
    </r>
    <r>
      <rPr>
        <sz val="10"/>
        <color rgb="FF000000"/>
        <rFont val="Arial"/>
        <family val="0"/>
        <charset val="1"/>
      </rPr>
      <t xml:space="preserve">1/31 </t>
    </r>
    <r>
      <rPr>
        <sz val="10"/>
        <color rgb="FF000000"/>
        <rFont val="WenQuanYi Zen Hei"/>
        <family val="2"/>
      </rPr>
      <t xml:space="preserve">日）</t>
    </r>
  </si>
  <si>
    <r>
      <rPr>
        <sz val="10"/>
        <color rgb="FF000000"/>
        <rFont val="WenQuanYi Zen Hei"/>
        <family val="2"/>
      </rPr>
      <t xml:space="preserve">虎航 </t>
    </r>
    <r>
      <rPr>
        <sz val="10"/>
        <color rgb="FF000000"/>
        <rFont val="Arial"/>
        <family val="0"/>
        <charset val="1"/>
      </rPr>
      <t xml:space="preserve">14:10 </t>
    </r>
    <r>
      <rPr>
        <sz val="10"/>
        <color rgb="FF000000"/>
        <rFont val="WenQuanYi Zen Hei"/>
        <family val="2"/>
      </rPr>
      <t xml:space="preserve">秋田→桃園 </t>
    </r>
    <r>
      <rPr>
        <sz val="10"/>
        <color rgb="FF000000"/>
        <rFont val="Arial"/>
        <family val="0"/>
        <charset val="1"/>
      </rPr>
      <t xml:space="preserve">17:25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</si>
  <si>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天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夜</t>
    </r>
  </si>
  <si>
    <r>
      <rPr>
        <sz val="10"/>
        <color rgb="FF000000"/>
        <rFont val="WenQuanYi Zen Hei"/>
        <family val="2"/>
      </rPr>
      <t xml:space="preserve">只請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天最省假；</t>
    </r>
    <r>
      <rPr>
        <sz val="10"/>
        <color rgb="FF000000"/>
        <rFont val="Arial"/>
        <family val="0"/>
        <charset val="1"/>
      </rPr>
      <t xml:space="preserve">1/30 </t>
    </r>
    <r>
      <rPr>
        <sz val="10"/>
        <color rgb="FF000000"/>
        <rFont val="WenQuanYi Zen Hei"/>
        <family val="2"/>
      </rPr>
      <t xml:space="preserve">從銀山溫泉到乳頭溫泉住一晚，</t>
    </r>
    <r>
      <rPr>
        <sz val="10"/>
        <color rgb="FF000000"/>
        <rFont val="Arial"/>
        <family val="0"/>
        <charset val="1"/>
      </rPr>
      <t xml:space="preserve">1/31 </t>
    </r>
    <r>
      <rPr>
        <sz val="10"/>
        <color rgb="FF000000"/>
        <rFont val="WenQuanYi Zen Hei"/>
        <family val="2"/>
      </rPr>
      <t xml:space="preserve">搭秋田新幹線到秋田再去機場。落地 </t>
    </r>
    <r>
      <rPr>
        <sz val="10"/>
        <color rgb="FF000000"/>
        <rFont val="Arial"/>
        <family val="0"/>
        <charset val="1"/>
      </rPr>
      <t xml:space="preserve">17:25</t>
    </r>
    <r>
      <rPr>
        <sz val="10"/>
        <color rgb="FF000000"/>
        <rFont val="WenQuanYi Zen Hei"/>
        <family val="2"/>
      </rPr>
      <t xml:space="preserve">，不算晚回</t>
    </r>
  </si>
  <si>
    <r>
      <rPr>
        <b val="true"/>
        <sz val="10"/>
        <color rgb="FF000000"/>
        <rFont val="WenQuanYi Zen Hei"/>
        <family val="2"/>
      </rPr>
      <t xml:space="preserve">Ⓑ 青森回（</t>
    </r>
    <r>
      <rPr>
        <b val="true"/>
        <sz val="10"/>
        <color rgb="FF000000"/>
        <rFont val="Arial"/>
        <family val="0"/>
        <charset val="1"/>
      </rPr>
      <t xml:space="preserve">2/1 </t>
    </r>
    <r>
      <rPr>
        <b val="true"/>
        <sz val="10"/>
        <color rgb="FF000000"/>
        <rFont val="WenQuanYi Zen Hei"/>
        <family val="2"/>
      </rPr>
      <t xml:space="preserve">一）★</t>
    </r>
  </si>
  <si>
    <r>
      <rPr>
        <sz val="10"/>
        <color rgb="FF000000"/>
        <rFont val="WenQuanYi Zen Hei"/>
        <family val="2"/>
      </rPr>
      <t xml:space="preserve">長榮 </t>
    </r>
    <r>
      <rPr>
        <sz val="10"/>
        <color rgb="FF000000"/>
        <rFont val="Arial"/>
        <family val="0"/>
        <charset val="1"/>
      </rPr>
      <t xml:space="preserve">15:30 </t>
    </r>
    <r>
      <rPr>
        <sz val="10"/>
        <color rgb="FF000000"/>
        <rFont val="WenQuanYi Zen Hei"/>
        <family val="2"/>
      </rPr>
      <t xml:space="preserve">青森→桃園 </t>
    </r>
    <r>
      <rPr>
        <sz val="10"/>
        <color rgb="FF000000"/>
        <rFont val="Arial"/>
        <family val="0"/>
        <charset val="1"/>
      </rPr>
      <t xml:space="preserve">19:00</t>
    </r>
  </si>
  <si>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天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夜</t>
    </r>
  </si>
  <si>
    <r>
      <rPr>
        <sz val="10"/>
        <color rgb="FF000000"/>
        <rFont val="WenQuanYi Zen Hei"/>
        <family val="2"/>
      </rPr>
      <t xml:space="preserve">全程都是全服務航空、含行李；回程票價最便宜；多玩乳頭溫泉＋青森（酸湯溫泉／八甲田）；</t>
    </r>
    <r>
      <rPr>
        <sz val="10"/>
        <color rgb="FF000000"/>
        <rFont val="Arial"/>
        <family val="0"/>
        <charset val="1"/>
      </rPr>
      <t xml:space="preserve">19:00 </t>
    </r>
    <r>
      <rPr>
        <sz val="10"/>
        <color rgb="FF000000"/>
        <rFont val="WenQuanYi Zen Hei"/>
        <family val="2"/>
      </rPr>
      <t xml:space="preserve">落地</t>
    </r>
  </si>
  <si>
    <r>
      <rPr>
        <sz val="10"/>
        <color rgb="FF000000"/>
        <rFont val="WenQuanYi Zen Hei"/>
        <family val="2"/>
      </rPr>
      <t xml:space="preserve">Ⓒ 花卷回（</t>
    </r>
    <r>
      <rPr>
        <sz val="10"/>
        <color rgb="FF000000"/>
        <rFont val="Arial"/>
        <family val="0"/>
        <charset val="1"/>
      </rPr>
      <t xml:space="preserve">1/30 </t>
    </r>
    <r>
      <rPr>
        <sz val="10"/>
        <color rgb="FF000000"/>
        <rFont val="WenQuanYi Zen Hei"/>
        <family val="2"/>
      </rPr>
      <t xml:space="preserve">六）</t>
    </r>
  </si>
  <si>
    <r>
      <rPr>
        <sz val="10"/>
        <color rgb="FF000000"/>
        <rFont val="WenQuanYi Zen Hei"/>
        <family val="2"/>
      </rPr>
      <t xml:space="preserve">虎航 </t>
    </r>
    <r>
      <rPr>
        <sz val="10"/>
        <color rgb="FF000000"/>
        <rFont val="Arial"/>
        <family val="0"/>
        <charset val="1"/>
      </rPr>
      <t xml:space="preserve">17:50 </t>
    </r>
    <r>
      <rPr>
        <sz val="10"/>
        <color rgb="FF000000"/>
        <rFont val="WenQuanYi Zen Hei"/>
        <family val="2"/>
      </rPr>
      <t xml:space="preserve">花卷→桃園 </t>
    </r>
    <r>
      <rPr>
        <sz val="10"/>
        <color rgb="FF000000"/>
        <rFont val="Arial"/>
        <family val="0"/>
        <charset val="1"/>
      </rPr>
      <t xml:space="preserve">21:10</t>
    </r>
  </si>
  <si>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天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夜</t>
    </r>
  </si>
  <si>
    <r>
      <rPr>
        <sz val="10"/>
        <color rgb="FF000000"/>
        <rFont val="WenQuanYi Zen Hei"/>
        <family val="2"/>
      </rPr>
      <t xml:space="preserve">行程最短；</t>
    </r>
    <r>
      <rPr>
        <sz val="10"/>
        <color rgb="FF000000"/>
        <rFont val="Arial"/>
        <family val="0"/>
        <charset val="1"/>
      </rPr>
      <t xml:space="preserve">1/30 </t>
    </r>
    <r>
      <rPr>
        <sz val="10"/>
        <color rgb="FF000000"/>
        <rFont val="WenQuanYi Zen Hei"/>
        <family val="2"/>
      </rPr>
      <t xml:space="preserve">要 </t>
    </r>
    <r>
      <rPr>
        <sz val="10"/>
        <color rgb="FF000000"/>
        <rFont val="Arial"/>
        <family val="0"/>
        <charset val="1"/>
      </rPr>
      <t xml:space="preserve">9:00 </t>
    </r>
    <r>
      <rPr>
        <sz val="10"/>
        <color rgb="FF000000"/>
        <rFont val="WenQuanYi Zen Hei"/>
        <family val="2"/>
      </rPr>
      <t xml:space="preserve">前離開銀山溫泉，車程約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小時，班次少有風險</t>
    </r>
  </si>
  <si>
    <r>
      <rPr>
        <sz val="10"/>
        <color rgb="FF000000"/>
        <rFont val="WenQuanYi Zen Hei"/>
        <family val="2"/>
      </rPr>
      <t xml:space="preserve">Ⓓ 新潟回（</t>
    </r>
    <r>
      <rPr>
        <sz val="10"/>
        <color rgb="FF000000"/>
        <rFont val="Arial"/>
        <family val="0"/>
        <charset val="1"/>
      </rPr>
      <t xml:space="preserve">2/1 </t>
    </r>
    <r>
      <rPr>
        <sz val="10"/>
        <color rgb="FF000000"/>
        <rFont val="WenQuanYi Zen Hei"/>
        <family val="2"/>
      </rPr>
      <t xml:space="preserve">一）</t>
    </r>
  </si>
  <si>
    <r>
      <rPr>
        <sz val="10"/>
        <color rgb="FF000000"/>
        <rFont val="WenQuanYi Zen Hei"/>
        <family val="2"/>
      </rPr>
      <t xml:space="preserve">虎航 </t>
    </r>
    <r>
      <rPr>
        <sz val="10"/>
        <color rgb="FF000000"/>
        <rFont val="Arial"/>
        <family val="0"/>
        <charset val="1"/>
      </rPr>
      <t xml:space="preserve">19:00 </t>
    </r>
    <r>
      <rPr>
        <sz val="10"/>
        <color rgb="FF000000"/>
        <rFont val="WenQuanYi Zen Hei"/>
        <family val="2"/>
      </rPr>
      <t xml:space="preserve">新潟→桃園 </t>
    </r>
    <r>
      <rPr>
        <sz val="10"/>
        <color rgb="FF000000"/>
        <rFont val="Arial"/>
        <family val="0"/>
        <charset val="1"/>
      </rPr>
      <t xml:space="preserve">22:30</t>
    </r>
  </si>
  <si>
    <r>
      <rPr>
        <sz val="10"/>
        <color rgb="FF000000"/>
        <rFont val="WenQuanYi Zen Hei"/>
        <family val="2"/>
      </rPr>
      <t xml:space="preserve">機票最便宜，但 </t>
    </r>
    <r>
      <rPr>
        <sz val="10"/>
        <color rgb="FF000000"/>
        <rFont val="Arial"/>
        <family val="0"/>
        <charset val="1"/>
      </rPr>
      <t xml:space="preserve">22:30 </t>
    </r>
    <r>
      <rPr>
        <sz val="10"/>
        <color rgb="FF000000"/>
        <rFont val="WenQuanYi Zen Hei"/>
        <family val="2"/>
      </rPr>
      <t xml:space="preserve">才落地，羽越線冬天常因大雪誤點</t>
    </r>
  </si>
  <si>
    <r>
      <rPr>
        <sz val="10"/>
        <color rgb="FF000000"/>
        <rFont val="WenQuanYi Zen Hei"/>
        <family val="2"/>
      </rPr>
      <t xml:space="preserve">Ⓔ 青森回（</t>
    </r>
    <r>
      <rPr>
        <sz val="10"/>
        <color rgb="FF000000"/>
        <rFont val="Arial"/>
        <family val="0"/>
        <charset val="1"/>
      </rPr>
      <t xml:space="preserve">1/31 </t>
    </r>
    <r>
      <rPr>
        <sz val="10"/>
        <color rgb="FF000000"/>
        <rFont val="WenQuanYi Zen Hei"/>
        <family val="2"/>
      </rPr>
      <t xml:space="preserve">日）</t>
    </r>
  </si>
  <si>
    <r>
      <rPr>
        <sz val="10"/>
        <color rgb="FF000000"/>
        <rFont val="WenQuanYi Zen Hei"/>
        <family val="2"/>
      </rPr>
      <t xml:space="preserve">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天也能晚一點回來，但 </t>
    </r>
    <r>
      <rPr>
        <sz val="10"/>
        <color rgb="FF000000"/>
        <rFont val="Arial"/>
        <family val="0"/>
        <charset val="1"/>
      </rPr>
      <t xml:space="preserve">1/30–1/31 </t>
    </r>
    <r>
      <rPr>
        <sz val="10"/>
        <color rgb="FF000000"/>
        <rFont val="WenQuanYi Zen Hei"/>
        <family val="2"/>
      </rPr>
      <t xml:space="preserve">要長途移動</t>
    </r>
  </si>
  <si>
    <r>
      <rPr>
        <sz val="10"/>
        <color rgb="FF000000"/>
        <rFont val="WenQuanYi Zen Hei"/>
        <family val="2"/>
      </rPr>
      <t xml:space="preserve">參考：仙台回（</t>
    </r>
    <r>
      <rPr>
        <sz val="10"/>
        <color rgb="FF000000"/>
        <rFont val="Arial"/>
        <family val="0"/>
        <charset val="1"/>
      </rPr>
      <t xml:space="preserve">2/2 </t>
    </r>
    <r>
      <rPr>
        <sz val="10"/>
        <color rgb="FF000000"/>
        <rFont val="WenQuanYi Zen Hei"/>
        <family val="2"/>
      </rPr>
      <t xml:space="preserve">二）</t>
    </r>
  </si>
  <si>
    <r>
      <rPr>
        <sz val="10"/>
        <color rgb="FF000000"/>
        <rFont val="WenQuanYi Zen Hei"/>
        <family val="2"/>
      </rPr>
      <t xml:space="preserve">長榮 </t>
    </r>
    <r>
      <rPr>
        <sz val="10"/>
        <color rgb="FF000000"/>
        <rFont val="Arial"/>
        <family val="0"/>
        <charset val="1"/>
      </rPr>
      <t xml:space="preserve">16:15 </t>
    </r>
    <r>
      <rPr>
        <sz val="10"/>
        <color rgb="FF000000"/>
        <rFont val="WenQuanYi Zen Hei"/>
        <family val="2"/>
      </rPr>
      <t xml:space="preserve">仙台→桃園 </t>
    </r>
    <r>
      <rPr>
        <sz val="10"/>
        <color rgb="FF000000"/>
        <rFont val="Arial"/>
        <family val="0"/>
        <charset val="1"/>
      </rPr>
      <t xml:space="preserve">19:30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</si>
  <si>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天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夜</t>
    </r>
  </si>
  <si>
    <r>
      <rPr>
        <sz val="10"/>
        <color rgb="FF000000"/>
        <rFont val="WenQuanYi Zen Hei"/>
        <family val="2"/>
      </rPr>
      <t xml:space="preserve">仙台回程經濟艙最早只有 </t>
    </r>
    <r>
      <rPr>
        <sz val="10"/>
        <color rgb="FF000000"/>
        <rFont val="Arial"/>
        <family val="0"/>
        <charset val="1"/>
      </rPr>
      <t xml:space="preserve">2/2</t>
    </r>
  </si>
  <si>
    <r>
      <rPr>
        <b val="true"/>
        <sz val="12"/>
        <color rgb="FF000000"/>
        <rFont val="WenQuanYi Zen Hei"/>
        <family val="2"/>
      </rPr>
      <t xml:space="preserve">Ⓑ 青森回 行程：</t>
    </r>
    <r>
      <rPr>
        <b val="true"/>
        <sz val="12"/>
        <color rgb="FF000000"/>
        <rFont val="Arial"/>
        <family val="0"/>
        <charset val="1"/>
      </rPr>
      <t xml:space="preserve">1/27 </t>
    </r>
    <r>
      <rPr>
        <b val="true"/>
        <sz val="12"/>
        <color rgb="FF000000"/>
        <rFont val="WenQuanYi Zen Hei"/>
        <family val="2"/>
      </rPr>
      <t xml:space="preserve">三 – </t>
    </r>
    <r>
      <rPr>
        <b val="true"/>
        <sz val="12"/>
        <color rgb="FF000000"/>
        <rFont val="Arial"/>
        <family val="0"/>
        <charset val="1"/>
      </rPr>
      <t xml:space="preserve">2/1 </t>
    </r>
    <r>
      <rPr>
        <b val="true"/>
        <sz val="12"/>
        <color rgb="FF000000"/>
        <rFont val="WenQuanYi Zen Hei"/>
        <family val="2"/>
      </rPr>
      <t xml:space="preserve">一（請假 </t>
    </r>
    <r>
      <rPr>
        <b val="true"/>
        <sz val="12"/>
        <color rgb="FF000000"/>
        <rFont val="Arial"/>
        <family val="0"/>
        <charset val="1"/>
      </rPr>
      <t xml:space="preserve">1/27</t>
    </r>
    <r>
      <rPr>
        <b val="true"/>
        <sz val="12"/>
        <color rgb="FF000000"/>
        <rFont val="WenQuanYi Zen Hei"/>
        <family val="2"/>
      </rPr>
      <t xml:space="preserve">、</t>
    </r>
    <r>
      <rPr>
        <b val="true"/>
        <sz val="12"/>
        <color rgb="FF000000"/>
        <rFont val="Arial"/>
        <family val="0"/>
        <charset val="1"/>
      </rPr>
      <t xml:space="preserve">1/28</t>
    </r>
    <r>
      <rPr>
        <b val="true"/>
        <sz val="12"/>
        <color rgb="FF000000"/>
        <rFont val="WenQuanYi Zen Hei"/>
        <family val="2"/>
      </rPr>
      <t xml:space="preserve">、</t>
    </r>
    <r>
      <rPr>
        <b val="true"/>
        <sz val="12"/>
        <color rgb="FF000000"/>
        <rFont val="Arial"/>
        <family val="0"/>
        <charset val="1"/>
      </rPr>
      <t xml:space="preserve">1/29</t>
    </r>
    <r>
      <rPr>
        <b val="true"/>
        <sz val="12"/>
        <color rgb="FF000000"/>
        <rFont val="WenQuanYi Zen Hei"/>
        <family val="2"/>
      </rPr>
      <t xml:space="preserve">、</t>
    </r>
    <r>
      <rPr>
        <b val="true"/>
        <sz val="12"/>
        <color rgb="FF000000"/>
        <rFont val="Arial"/>
        <family val="0"/>
        <charset val="1"/>
      </rPr>
      <t xml:space="preserve">2/1</t>
    </r>
    <r>
      <rPr>
        <b val="true"/>
        <sz val="12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</si>
  <si>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星宇 </t>
    </r>
    <r>
      <rPr>
        <sz val="10"/>
        <color rgb="FF000000"/>
        <rFont val="Arial"/>
        <family val="0"/>
        <charset val="1"/>
      </rPr>
      <t xml:space="preserve">11:50 </t>
    </r>
    <r>
      <rPr>
        <sz val="10"/>
        <color rgb="FF000000"/>
        <rFont val="WenQuanYi Zen Hei"/>
        <family val="2"/>
      </rPr>
      <t xml:space="preserve">桃園 → </t>
    </r>
    <r>
      <rPr>
        <sz val="10"/>
        <color rgb="FF000000"/>
        <rFont val="Arial"/>
        <family val="0"/>
        <charset val="1"/>
      </rPr>
      <t xml:space="preserve">16:00 </t>
    </r>
    <r>
      <rPr>
        <sz val="10"/>
        <color rgb="FF000000"/>
        <rFont val="WenQuanYi Zen Hei"/>
        <family val="2"/>
      </rPr>
      <t xml:space="preserve">仙台 → 巴士或 </t>
    </r>
    <r>
      <rPr>
        <sz val="10"/>
        <color rgb="FF000000"/>
        <rFont val="Arial"/>
        <family val="0"/>
        <charset val="1"/>
      </rPr>
      <t xml:space="preserve">JR </t>
    </r>
    <r>
      <rPr>
        <sz val="10"/>
        <color rgb="FF000000"/>
        <rFont val="WenQuanYi Zen Hei"/>
        <family val="2"/>
      </rPr>
      <t xml:space="preserve">到山形 → 巴士到藏王溫泉（約 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WenQuanYi Zen Hei"/>
        <family val="2"/>
      </rPr>
      <t xml:space="preserve">小時）</t>
    </r>
  </si>
  <si>
    <t xml:space="preserve">早上搭纜車看樹冰 → 下午山寺 → 山形</t>
  </si>
  <si>
    <t xml:space="preserve">山形</t>
  </si>
  <si>
    <r>
      <rPr>
        <sz val="10"/>
        <color rgb="FF000000"/>
        <rFont val="WenQuanYi Zen Hei"/>
        <family val="2"/>
      </rPr>
      <t xml:space="preserve">山形 → 大石田 → 銀山溫泉，</t>
    </r>
    <r>
      <rPr>
        <sz val="10"/>
        <color rgb="FF000000"/>
        <rFont val="Arial"/>
        <family val="0"/>
        <charset val="1"/>
      </rPr>
      <t xml:space="preserve">16:45 </t>
    </r>
    <r>
      <rPr>
        <sz val="10"/>
        <color rgb="FF000000"/>
        <rFont val="WenQuanYi Zen Hei"/>
        <family val="2"/>
      </rPr>
      <t xml:space="preserve">拍瓦斯燈藍調時刻</t>
    </r>
  </si>
  <si>
    <r>
      <rPr>
        <sz val="10"/>
        <color rgb="FF000000"/>
        <rFont val="WenQuanYi Zen Hei"/>
        <family val="2"/>
      </rPr>
      <t xml:space="preserve">清晨拍照 → 大石田 → 新庄 → 奧羽本線 → 大曲 → 秋田新幹線到田澤湖 → 巴士到乳頭溫泉（約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小時，中午前出發）</t>
    </r>
  </si>
  <si>
    <t xml:space="preserve">乳頭溫泉鄉（鶴之湯等）</t>
  </si>
  <si>
    <r>
      <rPr>
        <sz val="10"/>
        <color rgb="FF000000"/>
        <rFont val="WenQuanYi Zen Hei"/>
        <family val="2"/>
      </rPr>
      <t xml:space="preserve">乳頭溫泉 → 田澤湖 → 秋田新幹線到盛岡 → 隼號到新青森（約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WenQuanYi Zen Hei"/>
        <family val="2"/>
      </rPr>
      <t xml:space="preserve">小時）→ 青森市區（睡魔之家、</t>
    </r>
    <r>
      <rPr>
        <sz val="10"/>
        <color rgb="FF000000"/>
        <rFont val="Arial"/>
        <family val="0"/>
        <charset val="1"/>
      </rPr>
      <t xml:space="preserve">A-FACTORY</t>
    </r>
    <r>
      <rPr>
        <sz val="10"/>
        <color rgb="FF000000"/>
        <rFont val="WenQuanYi Zen Hei"/>
        <family val="2"/>
      </rPr>
      <t xml:space="preserve">、海鮮）</t>
    </r>
  </si>
  <si>
    <t xml:space="preserve">青森市（或酸湯溫泉）</t>
  </si>
  <si>
    <r>
      <rPr>
        <sz val="10"/>
        <color rgb="FF000000"/>
        <rFont val="WenQuanYi Zen Hei"/>
        <family val="2"/>
      </rPr>
      <t xml:space="preserve">上午青森魚菜中心吃自選海鮮丼 → </t>
    </r>
    <r>
      <rPr>
        <sz val="10"/>
        <color rgb="FF000000"/>
        <rFont val="Arial"/>
        <family val="0"/>
        <charset val="1"/>
      </rPr>
      <t xml:space="preserve">13:30 </t>
    </r>
    <r>
      <rPr>
        <sz val="10"/>
        <color rgb="FF000000"/>
        <rFont val="WenQuanYi Zen Hei"/>
        <family val="2"/>
      </rPr>
      <t xml:space="preserve">搭巴士到機場（約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WenQuanYi Zen Hei"/>
        <family val="2"/>
      </rPr>
      <t xml:space="preserve">分鐘）→ 長榮 </t>
    </r>
    <r>
      <rPr>
        <sz val="10"/>
        <color rgb="FF000000"/>
        <rFont val="Arial"/>
        <family val="0"/>
        <charset val="1"/>
      </rPr>
      <t xml:space="preserve">15:30 </t>
    </r>
    <r>
      <rPr>
        <sz val="10"/>
        <color rgb="FF000000"/>
        <rFont val="WenQuanYi Zen Hei"/>
        <family val="2"/>
      </rPr>
      <t xml:space="preserve">起飛，</t>
    </r>
    <r>
      <rPr>
        <sz val="10"/>
        <color rgb="FF000000"/>
        <rFont val="Arial"/>
        <family val="0"/>
        <charset val="1"/>
      </rPr>
      <t xml:space="preserve">19:00 </t>
    </r>
    <r>
      <rPr>
        <sz val="10"/>
        <color rgb="FF000000"/>
        <rFont val="WenQuanYi Zen Hei"/>
        <family val="2"/>
      </rPr>
      <t xml:space="preserve">抵達桃園</t>
    </r>
  </si>
  <si>
    <r>
      <rPr>
        <sz val="10"/>
        <color rgb="FF5F7285"/>
        <rFont val="WenQuanYi Zen Hei"/>
        <family val="2"/>
      </rPr>
      <t xml:space="preserve">Ⓐ 秋田回：</t>
    </r>
    <r>
      <rPr>
        <sz val="10"/>
        <color rgb="FF5F7285"/>
        <rFont val="Arial"/>
        <family val="0"/>
        <charset val="1"/>
      </rPr>
      <t xml:space="preserve">1/27–1/29 </t>
    </r>
    <r>
      <rPr>
        <sz val="10"/>
        <color rgb="FF5F7285"/>
        <rFont val="WenQuanYi Zen Hei"/>
        <family val="2"/>
      </rPr>
      <t xml:space="preserve">同上；</t>
    </r>
    <r>
      <rPr>
        <sz val="10"/>
        <color rgb="FF5F7285"/>
        <rFont val="Arial"/>
        <family val="0"/>
        <charset val="1"/>
      </rPr>
      <t xml:space="preserve">1/30 </t>
    </r>
    <r>
      <rPr>
        <sz val="10"/>
        <color rgb="FF5F7285"/>
        <rFont val="WenQuanYi Zen Hei"/>
        <family val="2"/>
      </rPr>
      <t xml:space="preserve">銀山溫泉 → 乳頭溫泉；</t>
    </r>
    <r>
      <rPr>
        <sz val="10"/>
        <color rgb="FF5F7285"/>
        <rFont val="Arial"/>
        <family val="0"/>
        <charset val="1"/>
      </rPr>
      <t xml:space="preserve">1/31 </t>
    </r>
    <r>
      <rPr>
        <sz val="10"/>
        <color rgb="FF5F7285"/>
        <rFont val="WenQuanYi Zen Hei"/>
        <family val="2"/>
      </rPr>
      <t xml:space="preserve">乳頭 → 田澤湖 → 秋田新幹線到秋田（約 </t>
    </r>
    <r>
      <rPr>
        <sz val="10"/>
        <color rgb="FF5F7285"/>
        <rFont val="Arial"/>
        <family val="0"/>
        <charset val="1"/>
      </rPr>
      <t xml:space="preserve">1 </t>
    </r>
    <r>
      <rPr>
        <sz val="10"/>
        <color rgb="FF5F7285"/>
        <rFont val="WenQuanYi Zen Hei"/>
        <family val="2"/>
      </rPr>
      <t xml:space="preserve">小時）→ 巴士到機場（約 </t>
    </r>
    <r>
      <rPr>
        <sz val="10"/>
        <color rgb="FF5F7285"/>
        <rFont val="Arial"/>
        <family val="0"/>
        <charset val="1"/>
      </rPr>
      <t xml:space="preserve">40 </t>
    </r>
    <r>
      <rPr>
        <sz val="10"/>
        <color rgb="FF5F7285"/>
        <rFont val="WenQuanYi Zen Hei"/>
        <family val="2"/>
      </rPr>
      <t xml:space="preserve">分鐘）→ 虎航 </t>
    </r>
    <r>
      <rPr>
        <sz val="10"/>
        <color rgb="FF5F7285"/>
        <rFont val="Arial"/>
        <family val="0"/>
        <charset val="1"/>
      </rPr>
      <t xml:space="preserve">14:10 </t>
    </r>
    <r>
      <rPr>
        <sz val="10"/>
        <color rgb="FF5F7285"/>
        <rFont val="WenQuanYi Zen Hei"/>
        <family val="2"/>
      </rPr>
      <t xml:space="preserve">起飛。</t>
    </r>
  </si>
  <si>
    <r>
      <rPr>
        <sz val="10"/>
        <color rgb="FF5F7285"/>
        <rFont val="WenQuanYi Zen Hei"/>
        <family val="2"/>
      </rPr>
      <t xml:space="preserve">陸路參考：新庄—大曲之間的奧羽本線班次很少（院內站每天約 </t>
    </r>
    <r>
      <rPr>
        <sz val="10"/>
        <color rgb="FF5F7285"/>
        <rFont val="Arial"/>
        <family val="0"/>
        <charset val="1"/>
      </rPr>
      <t xml:space="preserve">7 </t>
    </r>
    <r>
      <rPr>
        <sz val="10"/>
        <color rgb="FF5F7285"/>
        <rFont val="WenQuanYi Zen Hei"/>
        <family val="2"/>
      </rPr>
      <t xml:space="preserve">班），出發前務必查 </t>
    </r>
    <r>
      <rPr>
        <sz val="10"/>
        <color rgb="FF5F7285"/>
        <rFont val="Arial"/>
        <family val="0"/>
        <charset val="1"/>
      </rPr>
      <t xml:space="preserve">JR </t>
    </r>
    <r>
      <rPr>
        <sz val="10"/>
        <color rgb="FF5F7285"/>
        <rFont val="WenQuanYi Zen Hei"/>
        <family val="2"/>
      </rPr>
      <t xml:space="preserve">東日本時刻表；八甲田纜車冬季 </t>
    </r>
    <r>
      <rPr>
        <sz val="10"/>
        <color rgb="FF5F7285"/>
        <rFont val="Arial"/>
        <family val="0"/>
        <charset val="1"/>
      </rPr>
      <t xml:space="preserve">9:00–15:40</t>
    </r>
    <r>
      <rPr>
        <sz val="10"/>
        <color rgb="FF5F7285"/>
        <rFont val="WenQuanYi Zen Hei"/>
        <family val="2"/>
      </rPr>
      <t xml:space="preserve">，常因強風停駛。</t>
    </r>
  </si>
  <si>
    <r>
      <rPr>
        <b val="true"/>
        <sz val="13"/>
        <color rgb="FF000000"/>
        <rFont val="WenQuanYi Zen Hei"/>
        <family val="2"/>
      </rPr>
      <t xml:space="preserve">目前還能買的直飛（</t>
    </r>
    <r>
      <rPr>
        <b val="true"/>
        <sz val="13"/>
        <color rgb="FF000000"/>
        <rFont val="Arial"/>
        <family val="0"/>
        <charset val="1"/>
      </rPr>
      <t xml:space="preserve">Google Flights</t>
    </r>
    <r>
      <rPr>
        <b val="true"/>
        <sz val="13"/>
        <color rgb="FF000000"/>
        <rFont val="WenQuanYi Zen Hei"/>
        <family val="2"/>
      </rPr>
      <t xml:space="preserve">＋星宇官網，</t>
    </r>
    <r>
      <rPr>
        <b val="true"/>
        <sz val="13"/>
        <color rgb="FF000000"/>
        <rFont val="Arial"/>
        <family val="0"/>
        <charset val="1"/>
      </rPr>
      <t xml:space="preserve">2026/10/13 </t>
    </r>
    <r>
      <rPr>
        <b val="true"/>
        <sz val="13"/>
        <color rgb="FF000000"/>
        <rFont val="WenQuanYi Zen Hei"/>
        <family val="2"/>
      </rPr>
      <t xml:space="preserve">查詢；每人單程含稅，新台幣）</t>
    </r>
  </si>
  <si>
    <r>
      <rPr>
        <sz val="10"/>
        <color rgb="FF5F7285"/>
        <rFont val="WenQuanYi Zen Hei"/>
        <family val="2"/>
      </rPr>
      <t xml:space="preserve">不含東京。去程查 </t>
    </r>
    <r>
      <rPr>
        <sz val="10"/>
        <color rgb="FF5F7285"/>
        <rFont val="Arial"/>
        <family val="0"/>
        <charset val="1"/>
      </rPr>
      <t xml:space="preserve">1/22–1/28</t>
    </r>
    <r>
      <rPr>
        <sz val="10"/>
        <color rgb="FF5F7285"/>
        <rFont val="WenQuanYi Zen Hei"/>
        <family val="2"/>
      </rPr>
      <t xml:space="preserve">、回程查 </t>
    </r>
    <r>
      <rPr>
        <sz val="10"/>
        <color rgb="FF5F7285"/>
        <rFont val="Arial"/>
        <family val="0"/>
        <charset val="1"/>
      </rPr>
      <t xml:space="preserve">1/30–2/2</t>
    </r>
    <r>
      <rPr>
        <sz val="10"/>
        <color rgb="FF5F7285"/>
        <rFont val="WenQuanYi Zen Hei"/>
        <family val="2"/>
      </rPr>
      <t xml:space="preserve">。紅底＝只剩商務艙。沒列出的日期＝當天沒有直飛或已售完。航空公司不公開剩餘座位數。</t>
    </r>
  </si>
  <si>
    <t xml:space="preserve">起飛 → 抵達（當地）</t>
  </si>
  <si>
    <t xml:space="preserve">經濟艙已售完</t>
  </si>
  <si>
    <t xml:space="preserve">不含托運行李</t>
  </si>
  <si>
    <r>
      <rPr>
        <sz val="10"/>
        <color rgb="FF000000"/>
        <rFont val="WenQuanYi Zen Hei"/>
        <family val="2"/>
      </rPr>
      <t xml:space="preserve">星宇官網：最便宜的「超值」票已售完，剩基本 </t>
    </r>
    <r>
      <rPr>
        <sz val="10"/>
        <color rgb="FF000000"/>
        <rFont val="Arial"/>
        <family val="0"/>
        <charset val="1"/>
      </rPr>
      <t xml:space="preserve">17,480</t>
    </r>
    <r>
      <rPr>
        <sz val="10"/>
        <color rgb="FF000000"/>
        <rFont val="WenQuanYi Zen Hei"/>
        <family val="2"/>
      </rPr>
      <t xml:space="preserve">／全額 </t>
    </r>
    <r>
      <rPr>
        <sz val="10"/>
        <color rgb="FF000000"/>
        <rFont val="Arial"/>
        <family val="0"/>
        <charset val="1"/>
      </rPr>
      <t xml:space="preserve">22,784</t>
    </r>
  </si>
  <si>
    <t xml:space="preserve">桃園→新潟</t>
  </si>
  <si>
    <t xml:space="preserve">13:55 → 18:00</t>
  </si>
  <si>
    <t xml:space="preserve">桃園→秋田</t>
  </si>
  <si>
    <t xml:space="preserve">08:30 → 12:40</t>
  </si>
  <si>
    <t xml:space="preserve">桃園→花卷</t>
  </si>
  <si>
    <t xml:space="preserve">12:15 → 16:35</t>
  </si>
  <si>
    <t xml:space="preserve">桃園→青森</t>
  </si>
  <si>
    <t xml:space="preserve">09:55 → 14:20</t>
  </si>
  <si>
    <r>
      <rPr>
        <sz val="10"/>
        <color rgb="FF000000"/>
        <rFont val="WenQuanYi Zen Hei"/>
        <family val="2"/>
      </rPr>
      <t xml:space="preserve">星宇官網確認有經濟艙（</t>
    </r>
    <r>
      <rPr>
        <sz val="10"/>
        <color rgb="FF000000"/>
        <rFont val="Arial"/>
        <family val="0"/>
        <charset val="1"/>
      </rPr>
      <t xml:space="preserve">¥79,370</t>
    </r>
    <r>
      <rPr>
        <sz val="10"/>
        <color rgb="FF000000"/>
        <rFont val="WenQuanYi Zen Hei"/>
        <family val="2"/>
      </rPr>
      <t xml:space="preserve">）</t>
    </r>
  </si>
  <si>
    <t xml:space="preserve">新潟→桃園</t>
  </si>
  <si>
    <t xml:space="preserve">19:00 → 22:30</t>
  </si>
  <si>
    <t xml:space="preserve">秋田→桃園</t>
  </si>
  <si>
    <t xml:space="preserve">14:10 → 17:25</t>
  </si>
  <si>
    <t xml:space="preserve">花卷→桃園</t>
  </si>
  <si>
    <t xml:space="preserve">17:50 → 21:10</t>
  </si>
  <si>
    <t xml:space="preserve">青森→桃園</t>
  </si>
  <si>
    <t xml:space="preserve">15:30 → 19:00</t>
  </si>
  <si>
    <r>
      <rPr>
        <b val="true"/>
        <sz val="13"/>
        <color rgb="FF000000"/>
        <rFont val="WenQuanYi Zen Hei"/>
        <family val="2"/>
      </rPr>
      <t xml:space="preserve">兩人同行：目前還買得到 </t>
    </r>
    <r>
      <rPr>
        <b val="true"/>
        <sz val="13"/>
        <color rgb="FF000000"/>
        <rFont val="Arial"/>
        <family val="0"/>
        <charset val="1"/>
      </rPr>
      <t xml:space="preserve">2 </t>
    </r>
    <r>
      <rPr>
        <b val="true"/>
        <sz val="13"/>
        <color rgb="FF000000"/>
        <rFont val="WenQuanYi Zen Hei"/>
        <family val="2"/>
      </rPr>
      <t xml:space="preserve">張的機票（</t>
    </r>
    <r>
      <rPr>
        <b val="true"/>
        <sz val="13"/>
        <color rgb="FF000000"/>
        <rFont val="Arial"/>
        <family val="0"/>
        <charset val="1"/>
      </rPr>
      <t xml:space="preserve">Google Flights </t>
    </r>
    <r>
      <rPr>
        <b val="true"/>
        <sz val="13"/>
        <color rgb="FF000000"/>
        <rFont val="WenQuanYi Zen Hei"/>
        <family val="2"/>
      </rPr>
      <t xml:space="preserve">以「</t>
    </r>
    <r>
      <rPr>
        <b val="true"/>
        <sz val="13"/>
        <color rgb="FF000000"/>
        <rFont val="Arial"/>
        <family val="0"/>
        <charset val="1"/>
      </rPr>
      <t xml:space="preserve">2 </t>
    </r>
    <r>
      <rPr>
        <b val="true"/>
        <sz val="13"/>
        <color rgb="FF000000"/>
        <rFont val="WenQuanYi Zen Hei"/>
        <family val="2"/>
      </rPr>
      <t xml:space="preserve">位成人」查詢，</t>
    </r>
    <r>
      <rPr>
        <b val="true"/>
        <sz val="13"/>
        <color rgb="FF000000"/>
        <rFont val="Arial"/>
        <family val="0"/>
        <charset val="1"/>
      </rPr>
      <t xml:space="preserve">2026/10/13</t>
    </r>
    <r>
      <rPr>
        <b val="true"/>
        <sz val="13"/>
        <color rgb="FF000000"/>
        <rFont val="WenQuanYi Zen Hei"/>
        <family val="2"/>
      </rPr>
      <t xml:space="preserve">；價格＝兩人合計，新台幣）</t>
    </r>
  </si>
  <si>
    <r>
      <rPr>
        <sz val="10"/>
        <color rgb="FF5F7285"/>
        <rFont val="WenQuanYi Zen Hei"/>
        <family val="2"/>
      </rPr>
      <t xml:space="preserve">能以 </t>
    </r>
    <r>
      <rPr>
        <sz val="10"/>
        <color rgb="FF5F7285"/>
        <rFont val="Arial"/>
        <family val="0"/>
        <charset val="1"/>
      </rPr>
      <t xml:space="preserve">2 </t>
    </r>
    <r>
      <rPr>
        <sz val="10"/>
        <color rgb="FF5F7285"/>
        <rFont val="WenQuanYi Zen Hei"/>
        <family val="2"/>
      </rPr>
      <t xml:space="preserve">人報價代表查詢當下至少還有 </t>
    </r>
    <r>
      <rPr>
        <sz val="10"/>
        <color rgb="FF5F7285"/>
        <rFont val="Arial"/>
        <family val="0"/>
        <charset val="1"/>
      </rPr>
      <t xml:space="preserve">2 </t>
    </r>
    <r>
      <rPr>
        <sz val="10"/>
        <color rgb="FF5F7285"/>
        <rFont val="WenQuanYi Zen Hei"/>
        <family val="2"/>
      </rPr>
      <t xml:space="preserve">個座位；實際以訂票時為準。陸路＝到山形（藏王）方向的兩人交通費，日圓</t>
    </r>
    <r>
      <rPr>
        <sz val="10"/>
        <color rgb="FF5F7285"/>
        <rFont val="Arial"/>
        <family val="0"/>
        <charset val="1"/>
      </rPr>
      <t xml:space="preserve">×</t>
    </r>
    <r>
      <rPr>
        <sz val="10"/>
        <color rgb="FF5F7285"/>
        <rFont val="WenQuanYi Zen Hei"/>
        <family val="2"/>
      </rPr>
      <t xml:space="preserve">匯率（總覽 </t>
    </r>
    <r>
      <rPr>
        <sz val="10"/>
        <color rgb="FF5F7285"/>
        <rFont val="Arial"/>
        <family val="0"/>
        <charset val="1"/>
      </rPr>
      <t xml:space="preserve">B5</t>
    </r>
    <r>
      <rPr>
        <sz val="10"/>
        <color rgb="FF5F7285"/>
        <rFont val="WenQuanYi Zen Hei"/>
        <family val="2"/>
      </rPr>
      <t xml:space="preserve">）。廉航行李以每人 </t>
    </r>
    <r>
      <rPr>
        <sz val="10"/>
        <color rgb="FF5F7285"/>
        <rFont val="Arial"/>
        <family val="0"/>
        <charset val="1"/>
      </rPr>
      <t xml:space="preserve">NT$1,000 </t>
    </r>
    <r>
      <rPr>
        <sz val="10"/>
        <color rgb="FF5F7285"/>
        <rFont val="WenQuanYi Zen Hei"/>
        <family val="2"/>
      </rPr>
      <t xml:space="preserve">估。</t>
    </r>
  </si>
  <si>
    <r>
      <rPr>
        <b val="true"/>
        <sz val="10"/>
        <color rgb="FFFFFFFF"/>
        <rFont val="WenQuanYi Zen Hei"/>
        <family val="2"/>
      </rPr>
      <t xml:space="preserve">去程 </t>
    </r>
    <r>
      <rPr>
        <b val="true"/>
        <sz val="10"/>
        <color rgb="FFFFFFFF"/>
        <rFont val="Arial"/>
        <family val="0"/>
        <charset val="1"/>
      </rPr>
      <t xml:space="preserve">1/27</t>
    </r>
    <r>
      <rPr>
        <b val="true"/>
        <sz val="10"/>
        <color rgb="FFFFFFFF"/>
        <rFont val="WenQuanYi Zen Hei"/>
        <family val="2"/>
      </rPr>
      <t xml:space="preserve">（三）</t>
    </r>
  </si>
  <si>
    <r>
      <rPr>
        <b val="true"/>
        <sz val="10"/>
        <color rgb="FFFFFFFF"/>
        <rFont val="WenQuanYi Zen Hei"/>
        <family val="2"/>
      </rPr>
      <t xml:space="preserve">機票（</t>
    </r>
    <r>
      <rPr>
        <b val="true"/>
        <sz val="10"/>
        <color rgb="FFFFFFFF"/>
        <rFont val="Arial"/>
        <family val="0"/>
        <charset val="1"/>
      </rPr>
      <t xml:space="preserve">2 </t>
    </r>
    <r>
      <rPr>
        <b val="true"/>
        <sz val="10"/>
        <color rgb="FFFFFFFF"/>
        <rFont val="WenQuanYi Zen Hei"/>
        <family val="2"/>
      </rPr>
      <t xml:space="preserve">人）</t>
    </r>
  </si>
  <si>
    <r>
      <rPr>
        <b val="true"/>
        <sz val="10"/>
        <color rgb="FFFFFFFF"/>
        <rFont val="WenQuanYi Zen Hei"/>
        <family val="2"/>
      </rPr>
      <t xml:space="preserve">行李加購（</t>
    </r>
    <r>
      <rPr>
        <b val="true"/>
        <sz val="10"/>
        <color rgb="FFFFFFFF"/>
        <rFont val="Arial"/>
        <family val="0"/>
        <charset val="1"/>
      </rPr>
      <t xml:space="preserve">2 </t>
    </r>
    <r>
      <rPr>
        <b val="true"/>
        <sz val="10"/>
        <color rgb="FFFFFFFF"/>
        <rFont val="WenQuanYi Zen Hei"/>
        <family val="2"/>
      </rPr>
      <t xml:space="preserve">人）</t>
    </r>
  </si>
  <si>
    <r>
      <rPr>
        <b val="true"/>
        <sz val="10"/>
        <color rgb="FFFFFFFF"/>
        <rFont val="WenQuanYi Zen Hei"/>
        <family val="2"/>
      </rPr>
      <t xml:space="preserve">陸路（日圓，</t>
    </r>
    <r>
      <rPr>
        <b val="true"/>
        <sz val="10"/>
        <color rgb="FFFFFFFF"/>
        <rFont val="Arial"/>
        <family val="0"/>
        <charset val="1"/>
      </rPr>
      <t xml:space="preserve">2 </t>
    </r>
    <r>
      <rPr>
        <b val="true"/>
        <sz val="10"/>
        <color rgb="FFFFFFFF"/>
        <rFont val="WenQuanYi Zen Hei"/>
        <family val="2"/>
      </rPr>
      <t xml:space="preserve">人）</t>
    </r>
  </si>
  <si>
    <r>
      <rPr>
        <b val="true"/>
        <sz val="10"/>
        <color rgb="FFFFFFFF"/>
        <rFont val="WenQuanYi Zen Hei"/>
        <family val="2"/>
      </rPr>
      <t xml:space="preserve">合計（</t>
    </r>
    <r>
      <rPr>
        <b val="true"/>
        <sz val="10"/>
        <color rgb="FFFFFFFF"/>
        <rFont val="Arial"/>
        <family val="0"/>
        <charset val="1"/>
      </rPr>
      <t xml:space="preserve">2 </t>
    </r>
    <r>
      <rPr>
        <b val="true"/>
        <sz val="10"/>
        <color rgb="FFFFFFFF"/>
        <rFont val="WenQuanYi Zen Hei"/>
        <family val="2"/>
      </rPr>
      <t xml:space="preserve">人）</t>
    </r>
  </si>
  <si>
    <t xml:space="preserve">每人</t>
  </si>
  <si>
    <r>
      <rPr>
        <b val="true"/>
        <sz val="10"/>
        <color rgb="FF000000"/>
        <rFont val="WenQuanYi Zen Hei"/>
        <family val="2"/>
      </rPr>
      <t xml:space="preserve">星宇 </t>
    </r>
    <r>
      <rPr>
        <b val="true"/>
        <sz val="10"/>
        <color rgb="FF000000"/>
        <rFont val="Arial"/>
        <family val="0"/>
        <charset val="1"/>
      </rPr>
      <t xml:space="preserve">JX862</t>
    </r>
  </si>
  <si>
    <r>
      <rPr>
        <sz val="10"/>
        <color rgb="FF000000"/>
        <rFont val="WenQuanYi Zen Hei"/>
        <family val="2"/>
      </rPr>
      <t xml:space="preserve">含行李；</t>
    </r>
    <r>
      <rPr>
        <sz val="10"/>
        <color rgb="FF000000"/>
        <rFont val="Arial"/>
        <family val="0"/>
        <charset val="1"/>
      </rPr>
      <t xml:space="preserve">16:00 </t>
    </r>
    <r>
      <rPr>
        <sz val="10"/>
        <color rgb="FF000000"/>
        <rFont val="WenQuanYi Zen Hei"/>
        <family val="2"/>
      </rPr>
      <t xml:space="preserve">到仙台，晚上到藏王溫泉</t>
    </r>
  </si>
  <si>
    <r>
      <rPr>
        <sz val="10"/>
        <color rgb="FF000000"/>
        <rFont val="WenQuanYi Zen Hei"/>
        <family val="2"/>
      </rPr>
      <t xml:space="preserve">長榮 </t>
    </r>
    <r>
      <rPr>
        <sz val="10"/>
        <color rgb="FF000000"/>
        <rFont val="Arial"/>
        <family val="0"/>
        <charset val="1"/>
      </rPr>
      <t xml:space="preserve">BR</t>
    </r>
  </si>
  <si>
    <t xml:space="preserve">含行李；最早到仙台</t>
  </si>
  <si>
    <r>
      <rPr>
        <sz val="10"/>
        <color rgb="FF000000"/>
        <rFont val="WenQuanYi Zen Hei"/>
        <family val="2"/>
      </rPr>
      <t xml:space="preserve">酷航 </t>
    </r>
    <r>
      <rPr>
        <sz val="10"/>
        <color rgb="FF000000"/>
        <rFont val="Arial"/>
        <family val="0"/>
        <charset val="1"/>
      </rPr>
      <t xml:space="preserve">TR</t>
    </r>
  </si>
  <si>
    <t xml:space="preserve">桃園→成田</t>
  </si>
  <si>
    <t xml:space="preserve">06:50 → 10:55</t>
  </si>
  <si>
    <r>
      <rPr>
        <sz val="10"/>
        <color rgb="FF000000"/>
        <rFont val="WenQuanYi Zen Hei"/>
        <family val="2"/>
      </rPr>
      <t xml:space="preserve">最便宜；</t>
    </r>
    <r>
      <rPr>
        <sz val="10"/>
        <color rgb="FF000000"/>
        <rFont val="Arial"/>
        <family val="0"/>
        <charset val="1"/>
      </rPr>
      <t xml:space="preserve">04:50 </t>
    </r>
    <r>
      <rPr>
        <sz val="10"/>
        <color rgb="FF000000"/>
        <rFont val="WenQuanYi Zen Hei"/>
        <family val="2"/>
      </rPr>
      <t xml:space="preserve">前要到機場；</t>
    </r>
    <r>
      <rPr>
        <sz val="10"/>
        <color rgb="FF000000"/>
        <rFont val="Arial"/>
        <family val="0"/>
        <charset val="1"/>
      </rPr>
      <t xml:space="preserve">15:30 </t>
    </r>
    <r>
      <rPr>
        <sz val="10"/>
        <color rgb="FF000000"/>
        <rFont val="WenQuanYi Zen Hei"/>
        <family val="2"/>
      </rPr>
      <t xml:space="preserve">左右到山形</t>
    </r>
  </si>
  <si>
    <r>
      <rPr>
        <sz val="10"/>
        <color rgb="FF000000"/>
        <rFont val="WenQuanYi Zen Hei"/>
        <family val="2"/>
      </rPr>
      <t xml:space="preserve">台灣虎航 </t>
    </r>
    <r>
      <rPr>
        <sz val="10"/>
        <color rgb="FF000000"/>
        <rFont val="Arial"/>
        <family val="0"/>
        <charset val="1"/>
      </rPr>
      <t xml:space="preserve">IT</t>
    </r>
  </si>
  <si>
    <t xml:space="preserve">06:10 → 10:35</t>
  </si>
  <si>
    <t xml:space="preserve">要搭計程車到機場</t>
  </si>
  <si>
    <t xml:space="preserve">10:40 → 14:40</t>
  </si>
  <si>
    <t xml:space="preserve">含行李；時間合理</t>
  </si>
  <si>
    <t xml:space="preserve">星宇</t>
  </si>
  <si>
    <t xml:space="preserve">10:10 → 14:20</t>
  </si>
  <si>
    <t xml:space="preserve">含行李；從淡水搭捷運就到</t>
  </si>
  <si>
    <t xml:space="preserve">長榮</t>
  </si>
  <si>
    <t xml:space="preserve">含行李；最早到、離家最近</t>
  </si>
  <si>
    <r>
      <rPr>
        <sz val="10"/>
        <color rgb="FF5F7285"/>
        <rFont val="WenQuanYi Zen Hei"/>
        <family val="2"/>
      </rPr>
      <t xml:space="preserve">陸路：仙台＝機場線 </t>
    </r>
    <r>
      <rPr>
        <sz val="10"/>
        <color rgb="FF5F7285"/>
        <rFont val="Arial"/>
        <family val="0"/>
        <charset val="1"/>
      </rPr>
      <t xml:space="preserve">¥680</t>
    </r>
    <r>
      <rPr>
        <sz val="10"/>
        <color rgb="FF5F7285"/>
        <rFont val="WenQuanYi Zen Hei"/>
        <family val="2"/>
      </rPr>
      <t xml:space="preserve">＋仙台→山形巴士 </t>
    </r>
    <r>
      <rPr>
        <sz val="10"/>
        <color rgb="FF5F7285"/>
        <rFont val="Arial"/>
        <family val="0"/>
        <charset val="1"/>
      </rPr>
      <t xml:space="preserve">¥1,100</t>
    </r>
    <r>
      <rPr>
        <sz val="10"/>
        <color rgb="FF5F7285"/>
        <rFont val="WenQuanYi Zen Hei"/>
        <family val="2"/>
      </rPr>
      <t xml:space="preserve">；成田＝成田特快約 </t>
    </r>
    <r>
      <rPr>
        <sz val="10"/>
        <color rgb="FF5F7285"/>
        <rFont val="Arial"/>
        <family val="0"/>
        <charset val="1"/>
      </rPr>
      <t xml:space="preserve">¥3,100</t>
    </r>
    <r>
      <rPr>
        <sz val="10"/>
        <color rgb="FF5F7285"/>
        <rFont val="WenQuanYi Zen Hei"/>
        <family val="2"/>
      </rPr>
      <t xml:space="preserve">＋新幹線東京→山形 </t>
    </r>
    <r>
      <rPr>
        <sz val="10"/>
        <color rgb="FF5F7285"/>
        <rFont val="Arial"/>
        <family val="0"/>
        <charset val="1"/>
      </rPr>
      <t xml:space="preserve">¥11,670</t>
    </r>
    <r>
      <rPr>
        <sz val="10"/>
        <color rgb="FF5F7285"/>
        <rFont val="WenQuanYi Zen Hei"/>
        <family val="2"/>
      </rPr>
      <t xml:space="preserve">；羽田＝約 </t>
    </r>
    <r>
      <rPr>
        <sz val="10"/>
        <color rgb="FF5F7285"/>
        <rFont val="Arial"/>
        <family val="0"/>
        <charset val="1"/>
      </rPr>
      <t xml:space="preserve">¥630</t>
    </r>
    <r>
      <rPr>
        <sz val="10"/>
        <color rgb="FF5F7285"/>
        <rFont val="WenQuanYi Zen Hei"/>
        <family val="2"/>
      </rPr>
      <t xml:space="preserve">＋</t>
    </r>
    <r>
      <rPr>
        <sz val="10"/>
        <color rgb="FF5F7285"/>
        <rFont val="Arial"/>
        <family val="0"/>
        <charset val="1"/>
      </rPr>
      <t xml:space="preserve">¥11,670</t>
    </r>
    <r>
      <rPr>
        <sz val="10"/>
        <color rgb="FF5F7285"/>
        <rFont val="WenQuanYi Zen Hei"/>
        <family val="2"/>
      </rPr>
      <t xml:space="preserve">（每人）。</t>
    </r>
  </si>
  <si>
    <r>
      <rPr>
        <b val="true"/>
        <sz val="10"/>
        <color rgb="FFFFFFFF"/>
        <rFont val="WenQuanYi Zen Hei"/>
        <family val="2"/>
      </rPr>
      <t xml:space="preserve">回程 </t>
    </r>
    <r>
      <rPr>
        <b val="true"/>
        <sz val="10"/>
        <color rgb="FFFFFFFF"/>
        <rFont val="Arial"/>
        <family val="0"/>
        <charset val="1"/>
      </rPr>
      <t xml:space="preserve">2/1</t>
    </r>
    <r>
      <rPr>
        <b val="true"/>
        <sz val="10"/>
        <color rgb="FFFFFFFF"/>
        <rFont val="WenQuanYi Zen Hei"/>
        <family val="2"/>
      </rPr>
      <t xml:space="preserve">（一）</t>
    </r>
  </si>
  <si>
    <t xml:space="preserve">長榮 直飛</t>
  </si>
  <si>
    <r>
      <rPr>
        <sz val="10"/>
        <color rgb="FF000000"/>
        <rFont val="WenQuanYi Zen Hei"/>
        <family val="2"/>
      </rPr>
      <t xml:space="preserve">含行李；要把 </t>
    </r>
    <r>
      <rPr>
        <sz val="10"/>
        <color rgb="FF000000"/>
        <rFont val="Arial"/>
        <family val="0"/>
        <charset val="1"/>
      </rPr>
      <t xml:space="preserve">1/30–1/31 </t>
    </r>
    <r>
      <rPr>
        <sz val="10"/>
        <color rgb="FF000000"/>
        <rFont val="WenQuanYi Zen Hei"/>
        <family val="2"/>
      </rPr>
      <t xml:space="preserve">行程改往北走</t>
    </r>
  </si>
  <si>
    <t xml:space="preserve">韓亞／大韓 經首爾</t>
  </si>
  <si>
    <t xml:space="preserve">12:45 → 18:10</t>
  </si>
  <si>
    <r>
      <rPr>
        <sz val="10"/>
        <color rgb="FF000000"/>
        <rFont val="WenQuanYi Zen Hei"/>
        <family val="2"/>
      </rPr>
      <t xml:space="preserve">仁川轉機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小時；從仙台回、不換機場</t>
    </r>
  </si>
  <si>
    <t xml:space="preserve">台灣虎航 直飛</t>
  </si>
  <si>
    <t xml:space="preserve">仙台→高雄</t>
  </si>
  <si>
    <t xml:space="preserve">18:50 → 22:30</t>
  </si>
  <si>
    <t xml:space="preserve">落地高雄，當晚可能要住高雄</t>
  </si>
  <si>
    <t xml:space="preserve">最便宜，但離銀山溫泉遠、落地晚</t>
  </si>
  <si>
    <t xml:space="preserve">日航轉長榮 經札幌</t>
  </si>
  <si>
    <t xml:space="preserve">12:15 → 18:55</t>
  </si>
  <si>
    <r>
      <rPr>
        <sz val="10"/>
        <color rgb="FF000000"/>
        <rFont val="WenQuanYi Zen Hei"/>
        <family val="2"/>
      </rPr>
      <t xml:space="preserve">新千歲轉機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分</t>
    </r>
  </si>
  <si>
    <t xml:space="preserve">星宇 直飛（商務艙）</t>
  </si>
  <si>
    <t xml:space="preserve">泰國獅航（參考：東京回）</t>
  </si>
  <si>
    <t xml:space="preserve">若改成東京進出才適用</t>
  </si>
  <si>
    <t xml:space="preserve">酷航（參考：東京回）</t>
  </si>
  <si>
    <r>
      <rPr>
        <b val="true"/>
        <sz val="13"/>
        <color rgb="FF000000"/>
        <rFont val="WenQuanYi Zen Hei"/>
        <family val="2"/>
      </rPr>
      <t xml:space="preserve">定案行程：早去晚回 </t>
    </r>
    <r>
      <rPr>
        <b val="true"/>
        <sz val="13"/>
        <color rgb="FF000000"/>
        <rFont val="Arial"/>
        <family val="0"/>
        <charset val="1"/>
      </rPr>
      <t xml:space="preserve">6 </t>
    </r>
    <r>
      <rPr>
        <b val="true"/>
        <sz val="13"/>
        <color rgb="FF000000"/>
        <rFont val="WenQuanYi Zen Hei"/>
        <family val="2"/>
      </rPr>
      <t xml:space="preserve">天 </t>
    </r>
    <r>
      <rPr>
        <b val="true"/>
        <sz val="13"/>
        <color rgb="FF000000"/>
        <rFont val="Arial"/>
        <family val="0"/>
        <charset val="1"/>
      </rPr>
      <t xml:space="preserve">5 </t>
    </r>
    <r>
      <rPr>
        <b val="true"/>
        <sz val="13"/>
        <color rgb="FF000000"/>
        <rFont val="WenQuanYi Zen Hei"/>
        <family val="2"/>
      </rPr>
      <t xml:space="preserve">夜（</t>
    </r>
    <r>
      <rPr>
        <b val="true"/>
        <sz val="13"/>
        <color rgb="FF000000"/>
        <rFont val="Arial"/>
        <family val="0"/>
        <charset val="1"/>
      </rPr>
      <t xml:space="preserve">2027/1/26 </t>
    </r>
    <r>
      <rPr>
        <b val="true"/>
        <sz val="13"/>
        <color rgb="FF000000"/>
        <rFont val="WenQuanYi Zen Hei"/>
        <family val="2"/>
      </rPr>
      <t xml:space="preserve">二 – </t>
    </r>
    <r>
      <rPr>
        <b val="true"/>
        <sz val="13"/>
        <color rgb="FF000000"/>
        <rFont val="Arial"/>
        <family val="0"/>
        <charset val="1"/>
      </rPr>
      <t xml:space="preserve">1/31 </t>
    </r>
    <r>
      <rPr>
        <b val="true"/>
        <sz val="13"/>
        <color rgb="FF000000"/>
        <rFont val="WenQuanYi Zen Hei"/>
        <family val="2"/>
      </rPr>
      <t xml:space="preserve">日，請假 </t>
    </r>
    <r>
      <rPr>
        <b val="true"/>
        <sz val="13"/>
        <color rgb="FF000000"/>
        <rFont val="Arial"/>
        <family val="0"/>
        <charset val="1"/>
      </rPr>
      <t xml:space="preserve">4 </t>
    </r>
    <r>
      <rPr>
        <b val="true"/>
        <sz val="13"/>
        <color rgb="FF000000"/>
        <rFont val="WenQuanYi Zen Hei"/>
        <family val="2"/>
      </rPr>
      <t xml:space="preserve">天）</t>
    </r>
  </si>
  <si>
    <r>
      <rPr>
        <sz val="10"/>
        <color rgb="FF5F7285"/>
        <rFont val="WenQuanYi Zen Hei"/>
        <family val="2"/>
      </rPr>
      <t xml:space="preserve">去程長榮 </t>
    </r>
    <r>
      <rPr>
        <sz val="10"/>
        <color rgb="FF5F7285"/>
        <rFont val="Arial"/>
        <family val="0"/>
        <charset val="1"/>
      </rPr>
      <t xml:space="preserve">BR118 08:45→13:00</t>
    </r>
    <r>
      <rPr>
        <sz val="10"/>
        <color rgb="FF5F7285"/>
        <rFont val="WenQuanYi Zen Hei"/>
        <family val="2"/>
      </rPr>
      <t xml:space="preserve">、回程虎航 </t>
    </r>
    <r>
      <rPr>
        <sz val="10"/>
        <color rgb="FF5F7285"/>
        <rFont val="Arial"/>
        <family val="0"/>
        <charset val="1"/>
      </rPr>
      <t xml:space="preserve">IT255 19:00→21:55</t>
    </r>
    <r>
      <rPr>
        <sz val="10"/>
        <color rgb="FF5F7285"/>
        <rFont val="WenQuanYi Zen Hei"/>
        <family val="2"/>
      </rPr>
      <t xml:space="preserve">。時間為當地時間（日本比台灣快 </t>
    </r>
    <r>
      <rPr>
        <sz val="10"/>
        <color rgb="FF5F7285"/>
        <rFont val="Arial"/>
        <family val="0"/>
        <charset val="1"/>
      </rPr>
      <t xml:space="preserve">1 </t>
    </r>
    <r>
      <rPr>
        <sz val="10"/>
        <color rgb="FF5F7285"/>
        <rFont val="WenQuanYi Zen Hei"/>
        <family val="2"/>
      </rPr>
      <t xml:space="preserve">小時），車班時間為估計，出發前請用 </t>
    </r>
    <r>
      <rPr>
        <sz val="10"/>
        <color rgb="FF5F7285"/>
        <rFont val="Arial"/>
        <family val="0"/>
        <charset val="1"/>
      </rPr>
      <t xml:space="preserve">Google Maps </t>
    </r>
    <r>
      <rPr>
        <sz val="10"/>
        <color rgb="FF5F7285"/>
        <rFont val="WenQuanYi Zen Hei"/>
        <family val="2"/>
      </rPr>
      <t xml:space="preserve">或 </t>
    </r>
    <r>
      <rPr>
        <sz val="10"/>
        <color rgb="FF5F7285"/>
        <rFont val="Arial"/>
        <family val="0"/>
        <charset val="1"/>
      </rPr>
      <t xml:space="preserve">Jorudan </t>
    </r>
    <r>
      <rPr>
        <sz val="10"/>
        <color rgb="FF5F7285"/>
        <rFont val="WenQuanYi Zen Hei"/>
        <family val="2"/>
      </rPr>
      <t xml:space="preserve">查當天班次。</t>
    </r>
  </si>
  <si>
    <r>
      <rPr>
        <b val="true"/>
        <sz val="10"/>
        <color rgb="FF000000"/>
        <rFont val="Arial"/>
        <family val="0"/>
        <charset val="1"/>
      </rPr>
      <t xml:space="preserve">1/26 </t>
    </r>
    <r>
      <rPr>
        <b val="true"/>
        <sz val="10"/>
        <color rgb="FF000000"/>
        <rFont val="WenQuanYi Zen Hei"/>
        <family val="2"/>
      </rPr>
      <t xml:space="preserve">二</t>
    </r>
  </si>
  <si>
    <t xml:space="preserve">05:40</t>
  </si>
  <si>
    <t xml:space="preserve">從淡水出發</t>
  </si>
  <si>
    <t xml:space="preserve">淡水信義線 → 台北車站轉機場捷運直達車</t>
  </si>
  <si>
    <r>
      <rPr>
        <sz val="10"/>
        <color rgb="FF000000"/>
        <rFont val="WenQuanYi Zen Hei"/>
        <family val="2"/>
      </rPr>
      <t xml:space="preserve">搭 </t>
    </r>
    <r>
      <rPr>
        <sz val="10"/>
        <color rgb="FF000000"/>
        <rFont val="Arial"/>
        <family val="0"/>
        <charset val="1"/>
      </rPr>
      <t xml:space="preserve">05:30 </t>
    </r>
    <r>
      <rPr>
        <sz val="10"/>
        <color rgb="FF000000"/>
        <rFont val="WenQuanYi Zen Hei"/>
        <family val="2"/>
      </rPr>
      <t xml:space="preserve">前後的首班車；</t>
    </r>
    <r>
      <rPr>
        <sz val="10"/>
        <color rgb="FF000000"/>
        <rFont val="Arial"/>
        <family val="0"/>
        <charset val="1"/>
      </rPr>
      <t xml:space="preserve">6:45 </t>
    </r>
    <r>
      <rPr>
        <sz val="10"/>
        <color rgb="FF000000"/>
        <rFont val="WenQuanYi Zen Hei"/>
        <family val="2"/>
      </rPr>
      <t xml:space="preserve">前到桃園機場第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航廈（長榮）</t>
    </r>
  </si>
  <si>
    <t xml:space="preserve">08:45</t>
  </si>
  <si>
    <r>
      <rPr>
        <sz val="10"/>
        <color rgb="FF000000"/>
        <rFont val="WenQuanYi Zen Hei"/>
        <family val="2"/>
      </rPr>
      <t xml:space="preserve">長榮 </t>
    </r>
    <r>
      <rPr>
        <sz val="10"/>
        <color rgb="FF000000"/>
        <rFont val="Arial"/>
        <family val="0"/>
        <charset val="1"/>
      </rPr>
      <t xml:space="preserve">BR118 </t>
    </r>
    <r>
      <rPr>
        <sz val="10"/>
        <color rgb="FF000000"/>
        <rFont val="WenQuanYi Zen Hei"/>
        <family val="2"/>
      </rPr>
      <t xml:space="preserve">桃園 → 仙台</t>
    </r>
  </si>
  <si>
    <r>
      <rPr>
        <sz val="10"/>
        <color rgb="FF000000"/>
        <rFont val="WenQuanYi Zen Hei"/>
        <family val="2"/>
      </rPr>
      <t xml:space="preserve">飛行約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分</t>
    </r>
  </si>
  <si>
    <r>
      <rPr>
        <sz val="10"/>
        <color rgb="FF000000"/>
        <rFont val="WenQuanYi Zen Hei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23kg </t>
    </r>
    <r>
      <rPr>
        <sz val="10"/>
        <color rgb="FF000000"/>
        <rFont val="WenQuanYi Zen Hei"/>
        <family val="2"/>
      </rPr>
      <t xml:space="preserve">托運行李與機上餐</t>
    </r>
  </si>
  <si>
    <t xml:space="preserve">抵達仙台機場</t>
  </si>
  <si>
    <r>
      <rPr>
        <sz val="10"/>
        <color rgb="FF000000"/>
        <rFont val="WenQuanYi Zen Hei"/>
        <family val="2"/>
      </rPr>
      <t xml:space="preserve">入境約 </t>
    </r>
    <r>
      <rPr>
        <sz val="10"/>
        <color rgb="FF000000"/>
        <rFont val="Arial"/>
        <family val="0"/>
        <charset val="1"/>
      </rPr>
      <t xml:space="preserve">30–45 </t>
    </r>
    <r>
      <rPr>
        <sz val="10"/>
        <color rgb="FF000000"/>
        <rFont val="WenQuanYi Zen Hei"/>
        <family val="2"/>
      </rPr>
      <t xml:space="preserve">分鐘</t>
    </r>
  </si>
  <si>
    <t xml:space="preserve">13:50</t>
  </si>
  <si>
    <t xml:space="preserve">仙台機場 → 仙台站</t>
  </si>
  <si>
    <r>
      <rPr>
        <sz val="10"/>
        <color rgb="FF000000"/>
        <rFont val="WenQuanYi Zen Hei"/>
        <family val="2"/>
      </rPr>
      <t xml:space="preserve">仙台機場線約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WenQuanYi Zen Hei"/>
        <family val="2"/>
      </rPr>
      <t xml:space="preserve">分鐘，</t>
    </r>
    <r>
      <rPr>
        <sz val="10"/>
        <color rgb="FF000000"/>
        <rFont val="Arial"/>
        <family val="0"/>
        <charset val="1"/>
      </rPr>
      <t xml:space="preserve">¥680</t>
    </r>
  </si>
  <si>
    <r>
      <rPr>
        <sz val="10"/>
        <color rgb="FF000000"/>
        <rFont val="WenQuanYi Zen Hei"/>
        <family val="2"/>
      </rPr>
      <t xml:space="preserve">可以用 </t>
    </r>
    <r>
      <rPr>
        <sz val="10"/>
        <color rgb="FF000000"/>
        <rFont val="Arial"/>
        <family val="0"/>
        <charset val="1"/>
      </rPr>
      <t xml:space="preserve">Suica</t>
    </r>
  </si>
  <si>
    <t xml:space="preserve">14:30</t>
  </si>
  <si>
    <t xml:space="preserve">飯店寄放行李</t>
  </si>
  <si>
    <r>
      <rPr>
        <sz val="10"/>
        <color rgb="FF000000"/>
        <rFont val="WenQuanYi Zen Hei"/>
        <family val="2"/>
      </rPr>
      <t xml:space="preserve">住仙台站附近，</t>
    </r>
    <r>
      <rPr>
        <sz val="10"/>
        <color rgb="FF000000"/>
        <rFont val="Arial"/>
        <family val="0"/>
        <charset val="1"/>
      </rPr>
      <t xml:space="preserve">1/30 </t>
    </r>
    <r>
      <rPr>
        <sz val="10"/>
        <color rgb="FF000000"/>
        <rFont val="WenQuanYi Zen Hei"/>
        <family val="2"/>
      </rPr>
      <t xml:space="preserve">回來時可以住同一間</t>
    </r>
  </si>
  <si>
    <t xml:space="preserve">15:00</t>
  </si>
  <si>
    <t xml:space="preserve">仙台城跡（伊達政宗騎馬像）、瑞鳳殿</t>
  </si>
  <si>
    <r>
      <rPr>
        <sz val="10"/>
        <color rgb="FF000000"/>
        <rFont val="WenQuanYi Zen Hei"/>
        <family val="2"/>
      </rPr>
      <t xml:space="preserve">觀光巴士 </t>
    </r>
    <r>
      <rPr>
        <sz val="10"/>
        <color rgb="FF000000"/>
        <rFont val="Arial"/>
        <family val="0"/>
        <charset val="1"/>
      </rPr>
      <t xml:space="preserve">Loople </t>
    </r>
    <r>
      <rPr>
        <sz val="10"/>
        <color rgb="FF000000"/>
        <rFont val="WenQuanYi Zen Hei"/>
        <family val="2"/>
      </rPr>
      <t xml:space="preserve">一日券 </t>
    </r>
    <r>
      <rPr>
        <sz val="10"/>
        <color rgb="FF000000"/>
        <rFont val="Arial"/>
        <family val="0"/>
        <charset val="1"/>
      </rPr>
      <t xml:space="preserve">¥630</t>
    </r>
  </si>
  <si>
    <r>
      <rPr>
        <sz val="10"/>
        <color rgb="FF000000"/>
        <rFont val="WenQuanYi Zen Hei"/>
        <family val="2"/>
      </rPr>
      <t xml:space="preserve">城跡可以俯瞰仙台市景；冬天 </t>
    </r>
    <r>
      <rPr>
        <sz val="10"/>
        <color rgb="FF000000"/>
        <rFont val="Arial"/>
        <family val="0"/>
        <charset val="1"/>
      </rPr>
      <t xml:space="preserve">16:50 </t>
    </r>
    <r>
      <rPr>
        <sz val="10"/>
        <color rgb="FF000000"/>
        <rFont val="WenQuanYi Zen Hei"/>
        <family val="2"/>
      </rPr>
      <t xml:space="preserve">左右日落，拍夕景剛好</t>
    </r>
  </si>
  <si>
    <t xml:space="preserve">18:00</t>
  </si>
  <si>
    <t xml:space="preserve">晚餐：牛舌定食</t>
  </si>
  <si>
    <t xml:space="preserve">推薦利久、善治郎，一番町一帶</t>
  </si>
  <si>
    <t xml:space="preserve">仙台 → 山寺</t>
  </si>
  <si>
    <r>
      <rPr>
        <sz val="10"/>
        <color rgb="FF000000"/>
        <rFont val="Arial"/>
        <family val="0"/>
        <charset val="1"/>
      </rPr>
      <t xml:space="preserve">JR </t>
    </r>
    <r>
      <rPr>
        <sz val="10"/>
        <color rgb="FF000000"/>
        <rFont val="WenQuanYi Zen Hei"/>
        <family val="2"/>
      </rPr>
      <t xml:space="preserve">仙山線約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</t>
    </r>
  </si>
  <si>
    <t xml:space="preserve">行李可以寄放在山寺站前的置物櫃或店家（數量有限，也可以先用宅配寄到藏王的旅館）</t>
  </si>
  <si>
    <t xml:space="preserve">09:40</t>
  </si>
  <si>
    <r>
      <rPr>
        <sz val="10"/>
        <color rgb="FF000000"/>
        <rFont val="WenQuanYi Zen Hei"/>
        <family val="2"/>
      </rPr>
      <t xml:space="preserve">山寺（立石寺）登 </t>
    </r>
    <r>
      <rPr>
        <sz val="10"/>
        <color rgb="FF000000"/>
        <rFont val="Arial"/>
        <family val="0"/>
        <charset val="1"/>
      </rPr>
      <t xml:space="preserve">1,015 </t>
    </r>
    <r>
      <rPr>
        <sz val="10"/>
        <color rgb="FF000000"/>
        <rFont val="WenQuanYi Zen Hei"/>
        <family val="2"/>
      </rPr>
      <t xml:space="preserve">階石梯</t>
    </r>
  </si>
  <si>
    <r>
      <rPr>
        <sz val="10"/>
        <color rgb="FF000000"/>
        <rFont val="WenQuanYi Zen Hei"/>
        <family val="2"/>
      </rPr>
      <t xml:space="preserve">雪景很美，但階梯容易滑，請穿防滑鞋或帶冰爪；來回約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WenQuanYi Zen Hei"/>
        <family val="2"/>
      </rPr>
      <t xml:space="preserve">小時</t>
    </r>
  </si>
  <si>
    <t xml:space="preserve">12:00</t>
  </si>
  <si>
    <t xml:space="preserve">午餐：力蒟蒻、山形蕎麥麵</t>
  </si>
  <si>
    <t xml:space="preserve">13:30</t>
  </si>
  <si>
    <t xml:space="preserve">山寺 → 山形站</t>
  </si>
  <si>
    <r>
      <rPr>
        <sz val="10"/>
        <color rgb="FF000000"/>
        <rFont val="Arial"/>
        <family val="0"/>
        <charset val="1"/>
      </rPr>
      <t xml:space="preserve">JR </t>
    </r>
    <r>
      <rPr>
        <sz val="10"/>
        <color rgb="FF000000"/>
        <rFont val="WenQuanYi Zen Hei"/>
        <family val="2"/>
      </rPr>
      <t xml:space="preserve">仙山線約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分鐘</t>
    </r>
  </si>
  <si>
    <r>
      <rPr>
        <sz val="10"/>
        <color rgb="FF000000"/>
        <rFont val="WenQuanYi Zen Hei"/>
        <family val="2"/>
      </rPr>
      <t xml:space="preserve">也可以買樹冰觀景套票 </t>
    </r>
    <r>
      <rPr>
        <sz val="10"/>
        <color rgb="FF000000"/>
        <rFont val="Arial"/>
        <family val="0"/>
        <charset val="1"/>
      </rPr>
      <t xml:space="preserve">¥6,600</t>
    </r>
    <r>
      <rPr>
        <sz val="10"/>
        <color rgb="FF000000"/>
        <rFont val="WenQuanYi Zen Hei"/>
        <family val="2"/>
      </rPr>
      <t xml:space="preserve">（巴士來回＋纜車）</t>
    </r>
  </si>
  <si>
    <t xml:space="preserve">入住藏王溫泉旅館、泡硫磺泉</t>
  </si>
  <si>
    <r>
      <rPr>
        <sz val="10"/>
        <color rgb="FF000000"/>
        <rFont val="WenQuanYi Zen Hei"/>
        <family val="2"/>
      </rPr>
      <t xml:space="preserve">共同浴場上湯、下湯、川原湯每次約 </t>
    </r>
    <r>
      <rPr>
        <sz val="10"/>
        <color rgb="FF000000"/>
        <rFont val="Arial"/>
        <family val="0"/>
        <charset val="1"/>
      </rPr>
      <t xml:space="preserve">¥200</t>
    </r>
  </si>
  <si>
    <t xml:space="preserve">樹冰夜間點燈（幻想迴廊）</t>
  </si>
  <si>
    <t xml:space="preserve">藏王纜車</t>
  </si>
  <si>
    <r>
      <rPr>
        <sz val="10"/>
        <color rgb="FF000000"/>
        <rFont val="WenQuanYi Zen Hei"/>
        <family val="2"/>
      </rPr>
      <t xml:space="preserve">點燈只在特定日期的傍晚，要先確認 </t>
    </r>
    <r>
      <rPr>
        <sz val="10"/>
        <color rgb="FF000000"/>
        <rFont val="Arial"/>
        <family val="0"/>
        <charset val="1"/>
      </rPr>
      <t xml:space="preserve">1/27 </t>
    </r>
    <r>
      <rPr>
        <sz val="10"/>
        <color rgb="FF000000"/>
        <rFont val="WenQuanYi Zen Hei"/>
        <family val="2"/>
      </rPr>
      <t xml:space="preserve">有沒有開，有些需要預約</t>
    </r>
  </si>
  <si>
    <t xml:space="preserve">藏王纜車上山頂看樹冰（白天）</t>
  </si>
  <si>
    <r>
      <rPr>
        <sz val="10"/>
        <color rgb="FF000000"/>
        <rFont val="WenQuanYi Zen Hei"/>
        <family val="2"/>
      </rPr>
      <t xml:space="preserve">藏王纜車來回 </t>
    </r>
    <r>
      <rPr>
        <sz val="10"/>
        <color rgb="FF000000"/>
        <rFont val="Arial"/>
        <family val="0"/>
        <charset val="1"/>
      </rPr>
      <t xml:space="preserve">¥4,400</t>
    </r>
  </si>
  <si>
    <r>
      <rPr>
        <sz val="10"/>
        <color rgb="FF000000"/>
        <rFont val="WenQuanYi Zen Hei"/>
        <family val="2"/>
      </rPr>
      <t xml:space="preserve">早上風比較小，比較不會停駛；山頂可能低於 −</t>
    </r>
    <r>
      <rPr>
        <sz val="10"/>
        <color rgb="FF000000"/>
        <rFont val="Arial"/>
        <family val="0"/>
        <charset val="1"/>
      </rPr>
      <t xml:space="preserve">10°C</t>
    </r>
  </si>
  <si>
    <t xml:space="preserve">午餐、溫泉街散步</t>
  </si>
  <si>
    <t xml:space="preserve">14:00</t>
  </si>
  <si>
    <t xml:space="preserve">藏王溫泉 → 山形站</t>
  </si>
  <si>
    <t xml:space="preserve">山形市區：霞城公園、文翔館</t>
  </si>
  <si>
    <t xml:space="preserve">步行或計程車</t>
  </si>
  <si>
    <t xml:space="preserve">文翔館免費入館</t>
  </si>
  <si>
    <t xml:space="preserve">晚餐：米澤牛或山形芋煮</t>
  </si>
  <si>
    <t xml:space="preserve">10:00</t>
  </si>
  <si>
    <t xml:space="preserve">山形睡飽、早午餐</t>
  </si>
  <si>
    <t xml:space="preserve">也可以順路去天童看將棋駒</t>
  </si>
  <si>
    <t xml:space="preserve">12:30</t>
  </si>
  <si>
    <r>
      <rPr>
        <sz val="10"/>
        <color rgb="FF000000"/>
        <rFont val="Arial"/>
        <family val="0"/>
        <charset val="1"/>
      </rPr>
      <t xml:space="preserve">JR </t>
    </r>
    <r>
      <rPr>
        <sz val="10"/>
        <color rgb="FF000000"/>
        <rFont val="WenQuanYi Zen Hei"/>
        <family val="2"/>
      </rPr>
      <t xml:space="preserve">奧羽本線普通車約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小時，或新幹線翼號約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WenQuanYi Zen Hei"/>
        <family val="2"/>
      </rPr>
      <t xml:space="preserve">分鐘</t>
    </r>
  </si>
  <si>
    <t xml:space="preserve">大石田站 → 銀山溫泉</t>
  </si>
  <si>
    <r>
      <rPr>
        <sz val="10"/>
        <color rgb="FF000000"/>
        <rFont val="WenQuanYi Zen Hei"/>
        <family val="2"/>
      </rPr>
      <t xml:space="preserve">はながさ巴士約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WenQuanYi Zen Hei"/>
        <family val="2"/>
      </rPr>
      <t xml:space="preserve">分鐘，</t>
    </r>
    <r>
      <rPr>
        <sz val="10"/>
        <color rgb="FF000000"/>
        <rFont val="Arial"/>
        <family val="0"/>
        <charset val="1"/>
      </rPr>
      <t xml:space="preserve">¥1,000</t>
    </r>
    <r>
      <rPr>
        <sz val="10"/>
        <color rgb="FF000000"/>
        <rFont val="WenQuanYi Zen Hei"/>
        <family val="2"/>
      </rPr>
      <t xml:space="preserve">（只收現金）</t>
    </r>
  </si>
  <si>
    <t xml:space="preserve">先問旅館有沒有大石田站接送</t>
  </si>
  <si>
    <t xml:space="preserve">♨ 入住銀山溫泉（已訂）</t>
  </si>
  <si>
    <t xml:space="preserve">住宿旅客不受冬季日歸管制</t>
  </si>
  <si>
    <t xml:space="preserve">16:45</t>
  </si>
  <si>
    <t xml:space="preserve">藍調時刻＋瓦斯燈點燈，拍照黃金時段</t>
  </si>
  <si>
    <t xml:space="preserve">白銀橋、溫泉街中段是經典機位；建議帶腳架</t>
  </si>
  <si>
    <t xml:space="preserve">18:30</t>
  </si>
  <si>
    <t xml:space="preserve">旅館晚餐、泡湯</t>
  </si>
  <si>
    <t xml:space="preserve">21:00</t>
  </si>
  <si>
    <t xml:space="preserve">夜間溫泉街散步、雪景拍照</t>
  </si>
  <si>
    <t xml:space="preserve">一日遊客都離開了，人最少</t>
  </si>
  <si>
    <t xml:space="preserve">沒有人潮，很適合拍乾淨的雪景</t>
  </si>
  <si>
    <t xml:space="preserve">08:00</t>
  </si>
  <si>
    <t xml:space="preserve">旅館早餐、白銀瀑布散步</t>
  </si>
  <si>
    <t xml:space="preserve">10:30</t>
  </si>
  <si>
    <t xml:space="preserve">退房 → 大石田站</t>
  </si>
  <si>
    <r>
      <rPr>
        <sz val="10"/>
        <color rgb="FF000000"/>
        <rFont val="WenQuanYi Zen Hei"/>
        <family val="2"/>
      </rPr>
      <t xml:space="preserve">はながさ巴士約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WenQuanYi Zen Hei"/>
        <family val="2"/>
      </rPr>
      <t xml:space="preserve">分鐘，</t>
    </r>
    <r>
      <rPr>
        <sz val="10"/>
        <color rgb="FF000000"/>
        <rFont val="Arial"/>
        <family val="0"/>
        <charset val="1"/>
      </rPr>
      <t xml:space="preserve">¥1,000</t>
    </r>
  </si>
  <si>
    <t xml:space="preserve">11:30</t>
  </si>
  <si>
    <t xml:space="preserve">大石田 → 仙台</t>
  </si>
  <si>
    <r>
      <rPr>
        <sz val="10"/>
        <color rgb="FF000000"/>
        <rFont val="Arial"/>
        <family val="0"/>
        <charset val="1"/>
      </rPr>
      <t xml:space="preserve">JR </t>
    </r>
    <r>
      <rPr>
        <sz val="10"/>
        <color rgb="FF000000"/>
        <rFont val="WenQuanYi Zen Hei"/>
        <family val="2"/>
      </rPr>
      <t xml:space="preserve">奧羽本線到羽前千歲轉仙山線，約 </t>
    </r>
    <r>
      <rPr>
        <sz val="10"/>
        <color rgb="FF000000"/>
        <rFont val="Arial"/>
        <family val="0"/>
        <charset val="1"/>
      </rPr>
      <t xml:space="preserve">2–2.5 </t>
    </r>
    <r>
      <rPr>
        <sz val="10"/>
        <color rgb="FF000000"/>
        <rFont val="WenQuanYi Zen Hei"/>
        <family val="2"/>
      </rPr>
      <t xml:space="preserve">小時，</t>
    </r>
    <r>
      <rPr>
        <sz val="10"/>
        <color rgb="FF000000"/>
        <rFont val="Arial"/>
        <family val="0"/>
        <charset val="1"/>
      </rPr>
      <t xml:space="preserve">¥1,690</t>
    </r>
  </si>
  <si>
    <t xml:space="preserve">大雪時容易誤點，請預留時間</t>
  </si>
  <si>
    <t xml:space="preserve">回到仙台飯店寄放行李</t>
  </si>
  <si>
    <t xml:space="preserve">逛一番町、定禪寺通，買伴手禮</t>
  </si>
  <si>
    <t xml:space="preserve">萩之月、毛豆泥麻糬（ずんだ餅）</t>
  </si>
  <si>
    <t xml:space="preserve">晚餐：仙台海鮮或燒肉</t>
  </si>
  <si>
    <t xml:space="preserve">住仙台站附近</t>
  </si>
  <si>
    <t xml:space="preserve">退房，大件行李寄放在飯店或仙台站置物櫃</t>
  </si>
  <si>
    <t xml:space="preserve">仙台 → 松島海岸</t>
  </si>
  <si>
    <r>
      <rPr>
        <sz val="10"/>
        <color rgb="FF000000"/>
        <rFont val="Arial"/>
        <family val="0"/>
        <charset val="1"/>
      </rPr>
      <t xml:space="preserve">JR </t>
    </r>
    <r>
      <rPr>
        <sz val="10"/>
        <color rgb="FF000000"/>
        <rFont val="WenQuanYi Zen Hei"/>
        <family val="2"/>
      </rPr>
      <t xml:space="preserve">仙石線約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WenQuanYi Zen Hei"/>
        <family val="2"/>
      </rPr>
      <t xml:space="preserve">分鐘</t>
    </r>
  </si>
  <si>
    <t xml:space="preserve">09:30</t>
  </si>
  <si>
    <r>
      <rPr>
        <sz val="10"/>
        <color rgb="FF000000"/>
        <rFont val="WenQuanYi Zen Hei"/>
        <family val="2"/>
      </rPr>
      <t xml:space="preserve">松島遊覽船（約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分鐘）</t>
    </r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</si>
  <si>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¥1,500</t>
    </r>
  </si>
  <si>
    <t xml:space="preserve">瑞巖寺、五大堂</t>
  </si>
  <si>
    <r>
      <rPr>
        <sz val="10"/>
        <color rgb="FF000000"/>
        <rFont val="WenQuanYi Zen Hei"/>
        <family val="2"/>
      </rPr>
      <t xml:space="preserve">瑞巖寺 </t>
    </r>
    <r>
      <rPr>
        <sz val="10"/>
        <color rgb="FF000000"/>
        <rFont val="Arial"/>
        <family val="0"/>
        <charset val="1"/>
      </rPr>
      <t xml:space="preserve">¥700</t>
    </r>
  </si>
  <si>
    <t xml:space="preserve">午餐：烤牡蠣、海鮮丼</t>
  </si>
  <si>
    <t xml:space="preserve">冬天正是牡蠣產季</t>
  </si>
  <si>
    <t xml:space="preserve">松島海岸 → 仙台站拿行李</t>
  </si>
  <si>
    <t xml:space="preserve">15:45</t>
  </si>
  <si>
    <t xml:space="preserve">仙台站 → 仙台機場</t>
  </si>
  <si>
    <r>
      <rPr>
        <sz val="10"/>
        <color rgb="FF000000"/>
        <rFont val="WenQuanYi Zen Hei"/>
        <family val="2"/>
      </rPr>
      <t xml:space="preserve">最晚 </t>
    </r>
    <r>
      <rPr>
        <sz val="10"/>
        <color rgb="FF000000"/>
        <rFont val="Arial"/>
        <family val="0"/>
        <charset val="1"/>
      </rPr>
      <t xml:space="preserve">17:00 </t>
    </r>
    <r>
      <rPr>
        <sz val="10"/>
        <color rgb="FF000000"/>
        <rFont val="WenQuanYi Zen Hei"/>
        <family val="2"/>
      </rPr>
      <t xml:space="preserve">到機場報到</t>
    </r>
  </si>
  <si>
    <t xml:space="preserve">19:00</t>
  </si>
  <si>
    <r>
      <rPr>
        <sz val="10"/>
        <color rgb="FF000000"/>
        <rFont val="WenQuanYi Zen Hei"/>
        <family val="2"/>
      </rPr>
      <t xml:space="preserve">虎航 </t>
    </r>
    <r>
      <rPr>
        <sz val="10"/>
        <color rgb="FF000000"/>
        <rFont val="Arial"/>
        <family val="0"/>
        <charset val="1"/>
      </rPr>
      <t xml:space="preserve">IT255 </t>
    </r>
    <r>
      <rPr>
        <sz val="10"/>
        <color rgb="FF000000"/>
        <rFont val="WenQuanYi Zen Hei"/>
        <family val="2"/>
      </rPr>
      <t xml:space="preserve">仙台 → 桃園</t>
    </r>
  </si>
  <si>
    <r>
      <rPr>
        <sz val="10"/>
        <color rgb="FF000000"/>
        <rFont val="WenQuanYi Zen Hei"/>
        <family val="2"/>
      </rPr>
      <t xml:space="preserve">托運行李要在訂票時先加購 </t>
    </r>
    <r>
      <rPr>
        <sz val="10"/>
        <color rgb="FF000000"/>
        <rFont val="Arial"/>
        <family val="0"/>
        <charset val="1"/>
      </rPr>
      <t xml:space="preserve">20kg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NT$950</t>
    </r>
  </si>
  <si>
    <t xml:space="preserve">21:55</t>
  </si>
  <si>
    <t xml:space="preserve">抵達桃園機場（台灣時間）</t>
  </si>
  <si>
    <t xml:space="preserve">機場捷運 → 台北車站轉淡水信義線</t>
  </si>
  <si>
    <r>
      <rPr>
        <sz val="10"/>
        <color rgb="FF000000"/>
        <rFont val="WenQuanYi Zen Hei"/>
        <family val="2"/>
      </rPr>
      <t xml:space="preserve">機場捷運與淡水線末班車大約在 </t>
    </r>
    <r>
      <rPr>
        <sz val="10"/>
        <color rgb="FF000000"/>
        <rFont val="Arial"/>
        <family val="0"/>
        <charset val="1"/>
      </rPr>
      <t xml:space="preserve">23:30–24:00</t>
    </r>
    <r>
      <rPr>
        <sz val="10"/>
        <color rgb="FF000000"/>
        <rFont val="WenQuanYi Zen Hei"/>
        <family val="2"/>
      </rPr>
      <t xml:space="preserve">，入境慢的話可以搭計程車或機場巴士</t>
    </r>
  </si>
  <si>
    <r>
      <rPr>
        <sz val="10"/>
        <color rgb="FF5F7285"/>
        <rFont val="WenQuanYi Zen Hei"/>
        <family val="2"/>
      </rPr>
      <t xml:space="preserve">只能請 </t>
    </r>
    <r>
      <rPr>
        <sz val="10"/>
        <color rgb="FF5F7285"/>
        <rFont val="Arial"/>
        <family val="0"/>
        <charset val="1"/>
      </rPr>
      <t xml:space="preserve">3 </t>
    </r>
    <r>
      <rPr>
        <sz val="10"/>
        <color rgb="FF5F7285"/>
        <rFont val="WenQuanYi Zen Hei"/>
        <family val="2"/>
      </rPr>
      <t xml:space="preserve">天時：改成 </t>
    </r>
    <r>
      <rPr>
        <sz val="10"/>
        <color rgb="FF5F7285"/>
        <rFont val="Arial"/>
        <family val="0"/>
        <charset val="1"/>
      </rPr>
      <t xml:space="preserve">1/27</t>
    </r>
    <r>
      <rPr>
        <sz val="10"/>
        <color rgb="FF5F7285"/>
        <rFont val="WenQuanYi Zen Hei"/>
        <family val="2"/>
      </rPr>
      <t xml:space="preserve">（三）搭 </t>
    </r>
    <r>
      <rPr>
        <sz val="10"/>
        <color rgb="FF5F7285"/>
        <rFont val="Arial"/>
        <family val="0"/>
        <charset val="1"/>
      </rPr>
      <t xml:space="preserve">BR118 </t>
    </r>
    <r>
      <rPr>
        <sz val="10"/>
        <color rgb="FF5F7285"/>
        <rFont val="WenQuanYi Zen Hei"/>
        <family val="2"/>
      </rPr>
      <t xml:space="preserve">出發，刪掉 </t>
    </r>
    <r>
      <rPr>
        <sz val="10"/>
        <color rgb="FF5F7285"/>
        <rFont val="Arial"/>
        <family val="0"/>
        <charset val="1"/>
      </rPr>
      <t xml:space="preserve">1/26 </t>
    </r>
    <r>
      <rPr>
        <sz val="10"/>
        <color rgb="FF5F7285"/>
        <rFont val="WenQuanYi Zen Hei"/>
        <family val="2"/>
      </rPr>
      <t xml:space="preserve">的仙台市區行程；</t>
    </r>
    <r>
      <rPr>
        <sz val="10"/>
        <color rgb="FF5F7285"/>
        <rFont val="Arial"/>
        <family val="0"/>
        <charset val="1"/>
      </rPr>
      <t xml:space="preserve">1/27 </t>
    </r>
    <r>
      <rPr>
        <sz val="10"/>
        <color rgb="FF5F7285"/>
        <rFont val="WenQuanYi Zen Hei"/>
        <family val="2"/>
      </rPr>
      <t xml:space="preserve">下午直接去藏王溫泉，山寺移到 </t>
    </r>
    <r>
      <rPr>
        <sz val="10"/>
        <color rgb="FF5F7285"/>
        <rFont val="Arial"/>
        <family val="0"/>
        <charset val="1"/>
      </rPr>
      <t xml:space="preserve">1/28 </t>
    </r>
    <r>
      <rPr>
        <sz val="10"/>
        <color rgb="FF5F7285"/>
        <rFont val="WenQuanYi Zen Hei"/>
        <family val="2"/>
      </rPr>
      <t xml:space="preserve">下午，其他天不變。</t>
    </r>
  </si>
  <si>
    <t xml:space="preserve">所有航班與票價（每人，新台幣）</t>
  </si>
  <si>
    <r>
      <rPr>
        <sz val="10"/>
        <color rgb="FF5F7285"/>
        <rFont val="WenQuanYi Zen Hei"/>
        <family val="2"/>
      </rPr>
      <t xml:space="preserve">藍字＝網路參考價；黃底 </t>
    </r>
    <r>
      <rPr>
        <sz val="10"/>
        <color rgb="FF5F7285"/>
        <rFont val="Arial"/>
        <family val="0"/>
        <charset val="1"/>
      </rPr>
      <t xml:space="preserve">J</t>
    </r>
    <r>
      <rPr>
        <sz val="10"/>
        <color rgb="FF5F7285"/>
        <rFont val="WenQuanYi Zen Hei"/>
        <family val="2"/>
      </rPr>
      <t xml:space="preserve">、</t>
    </r>
    <r>
      <rPr>
        <sz val="10"/>
        <color rgb="FF5F7285"/>
        <rFont val="Arial"/>
        <family val="0"/>
        <charset val="1"/>
      </rPr>
      <t xml:space="preserve">K </t>
    </r>
    <r>
      <rPr>
        <sz val="10"/>
        <color rgb="FF5F7285"/>
        <rFont val="WenQuanYi Zen Hei"/>
        <family val="2"/>
      </rPr>
      <t xml:space="preserve">欄請填你在官網查到的實際價格（留空則沿用參考價）。時間為當地時間。</t>
    </r>
  </si>
  <si>
    <t xml:space="preserve">編號</t>
  </si>
  <si>
    <r>
      <rPr>
        <b val="true"/>
        <sz val="10"/>
        <color rgb="FFFFFFFF"/>
        <rFont val="WenQuanYi Zen Hei"/>
        <family val="2"/>
      </rPr>
      <t xml:space="preserve">航班號（去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回）</t>
    </r>
  </si>
  <si>
    <t xml:space="preserve">去程時間</t>
  </si>
  <si>
    <t xml:space="preserve">回程時間</t>
  </si>
  <si>
    <t xml:space="preserve">飛行日</t>
  </si>
  <si>
    <t xml:space="preserve">參考單程價</t>
  </si>
  <si>
    <t xml:space="preserve">參考來回價</t>
  </si>
  <si>
    <t xml:space="preserve">實際單程價（請填）</t>
  </si>
  <si>
    <t xml:space="preserve">實際來回價（請填）</t>
  </si>
  <si>
    <t xml:space="preserve">採用單程價</t>
  </si>
  <si>
    <t xml:space="preserve">採用來回價</t>
  </si>
  <si>
    <t xml:space="preserve">含托運行李</t>
  </si>
  <si>
    <t xml:space="preserve">行李加購／每段</t>
  </si>
  <si>
    <t xml:space="preserve">資料來源與備註</t>
  </si>
  <si>
    <t xml:space="preserve">F1</t>
  </si>
  <si>
    <t xml:space="preserve">桃園⇄仙台</t>
  </si>
  <si>
    <t xml:space="preserve">IT254 / IT255</t>
  </si>
  <si>
    <t xml:space="preserve">13:45→18:10</t>
  </si>
  <si>
    <t xml:space="preserve">19:00→21:55</t>
  </si>
  <si>
    <t xml:space="preserve">過去為二、四、日（待確認）</t>
  </si>
  <si>
    <t xml:space="preserve">否</t>
  </si>
  <si>
    <r>
      <rPr>
        <sz val="10"/>
        <color rgb="FF000000"/>
        <rFont val="WenQuanYi Zen Hei"/>
        <family val="2"/>
      </rPr>
      <t xml:space="preserve">單程：</t>
    </r>
    <r>
      <rPr>
        <sz val="10"/>
        <color rgb="FF000000"/>
        <rFont val="Arial"/>
        <family val="0"/>
        <charset val="1"/>
      </rPr>
      <t xml:space="preserve">HotelsCombined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Kayak 2026 </t>
    </r>
    <r>
      <rPr>
        <sz val="10"/>
        <color rgb="FF000000"/>
        <rFont val="WenQuanYi Zen Hei"/>
        <family val="2"/>
      </rPr>
      <t xml:space="preserve">最低價；來回：</t>
    </r>
    <r>
      <rPr>
        <sz val="10"/>
        <color rgb="FF000000"/>
        <rFont val="Arial"/>
        <family val="0"/>
        <charset val="1"/>
      </rPr>
      <t xml:space="preserve">Google Flights </t>
    </r>
    <r>
      <rPr>
        <sz val="10"/>
        <color rgb="FF000000"/>
        <rFont val="WenQuanYi Zen Hei"/>
        <family val="2"/>
      </rPr>
      <t xml:space="preserve">最低價；促銷曾見 </t>
    </r>
    <r>
      <rPr>
        <sz val="10"/>
        <color rgb="FF000000"/>
        <rFont val="Arial"/>
        <family val="0"/>
        <charset val="1"/>
      </rPr>
      <t xml:space="preserve">7,206</t>
    </r>
    <r>
      <rPr>
        <sz val="10"/>
        <color rgb="FF000000"/>
        <rFont val="WenQuanYi Zen Hei"/>
        <family val="2"/>
      </rPr>
      <t xml:space="preserve">。行李 </t>
    </r>
    <r>
      <rPr>
        <sz val="10"/>
        <color rgb="FF000000"/>
        <rFont val="Arial"/>
        <family val="0"/>
        <charset val="1"/>
      </rPr>
      <t xml:space="preserve">20kg </t>
    </r>
    <r>
      <rPr>
        <sz val="10"/>
        <color rgb="FF000000"/>
        <rFont val="WenQuanYi Zen Hei"/>
        <family val="2"/>
      </rPr>
      <t xml:space="preserve">訂票時加購 </t>
    </r>
    <r>
      <rPr>
        <sz val="10"/>
        <color rgb="FF000000"/>
        <rFont val="Arial"/>
        <family val="0"/>
        <charset val="1"/>
      </rPr>
      <t xml:space="preserve">NT$950</t>
    </r>
    <r>
      <rPr>
        <sz val="10"/>
        <color rgb="FF000000"/>
        <rFont val="WenQuanYi Zen Hei"/>
        <family val="2"/>
      </rPr>
      <t xml:space="preserve">（虎航官網費用表）</t>
    </r>
  </si>
  <si>
    <t xml:space="preserve">F2</t>
  </si>
  <si>
    <t xml:space="preserve">BR118 / BR117</t>
  </si>
  <si>
    <t xml:space="preserve">08:45→13:00</t>
  </si>
  <si>
    <t xml:space="preserve">14:30→17:45</t>
  </si>
  <si>
    <t xml:space="preserve">二、三、四、六（待確認）</t>
  </si>
  <si>
    <r>
      <rPr>
        <sz val="10"/>
        <color rgb="FF000000"/>
        <rFont val="WenQuanYi Zen Hei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23kg</t>
    </r>
  </si>
  <si>
    <r>
      <rPr>
        <sz val="10"/>
        <color rgb="FF000000"/>
        <rFont val="WenQuanYi Zen Hei"/>
        <family val="2"/>
      </rPr>
      <t xml:space="preserve">來回：長榮官網 </t>
    </r>
    <r>
      <rPr>
        <sz val="10"/>
        <color rgb="FF000000"/>
        <rFont val="Arial"/>
        <family val="0"/>
        <charset val="1"/>
      </rPr>
      <t xml:space="preserve">2027/1 </t>
    </r>
    <r>
      <rPr>
        <sz val="10"/>
        <color rgb="FF000000"/>
        <rFont val="WenQuanYi Zen Hei"/>
        <family val="2"/>
      </rPr>
      <t xml:space="preserve">起價 </t>
    </r>
    <r>
      <rPr>
        <sz val="10"/>
        <color rgb="FF000000"/>
        <rFont val="Arial"/>
        <family val="0"/>
        <charset val="1"/>
      </rPr>
      <t xml:space="preserve">TWD 17,878</t>
    </r>
    <r>
      <rPr>
        <sz val="10"/>
        <color rgb="FF000000"/>
        <rFont val="WenQuanYi Zen Hei"/>
        <family val="2"/>
      </rPr>
      <t xml:space="preserve">；單程：比價網最低價</t>
    </r>
  </si>
  <si>
    <t xml:space="preserve">F3</t>
  </si>
  <si>
    <t xml:space="preserve">JX862 / JX863</t>
  </si>
  <si>
    <t xml:space="preserve">11:40→16:00</t>
  </si>
  <si>
    <t xml:space="preserve">17:20→20:10</t>
  </si>
  <si>
    <t xml:space="preserve">每日</t>
  </si>
  <si>
    <r>
      <rPr>
        <sz val="10"/>
        <color rgb="FF000000"/>
        <rFont val="WenQuanYi Zen Hei"/>
        <family val="2"/>
      </rPr>
      <t xml:space="preserve">來回：星宇官網 </t>
    </r>
    <r>
      <rPr>
        <sz val="10"/>
        <color rgb="FF000000"/>
        <rFont val="Arial"/>
        <family val="0"/>
        <charset val="1"/>
      </rPr>
      <t xml:space="preserve">2027/1 </t>
    </r>
    <r>
      <rPr>
        <sz val="10"/>
        <color rgb="FF000000"/>
        <rFont val="WenQuanYi Zen Hei"/>
        <family val="2"/>
      </rPr>
      <t xml:space="preserve">起價 </t>
    </r>
    <r>
      <rPr>
        <sz val="10"/>
        <color rgb="FF000000"/>
        <rFont val="Arial"/>
        <family val="0"/>
        <charset val="1"/>
      </rPr>
      <t xml:space="preserve">TWD 19,586</t>
    </r>
    <r>
      <rPr>
        <sz val="10"/>
        <color rgb="FF000000"/>
        <rFont val="WenQuanYi Zen Hei"/>
        <family val="2"/>
      </rPr>
      <t xml:space="preserve">；單程：比價網最低價</t>
    </r>
  </si>
  <si>
    <t xml:space="preserve">F4</t>
  </si>
  <si>
    <t xml:space="preserve">松山⇄羽田</t>
  </si>
  <si>
    <r>
      <rPr>
        <sz val="10"/>
        <color rgb="FF000000"/>
        <rFont val="Arial"/>
        <family val="0"/>
        <charset val="1"/>
      </rPr>
      <t xml:space="preserve">BR192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BR190 / BR189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BR191</t>
    </r>
  </si>
  <si>
    <r>
      <rPr>
        <sz val="10"/>
        <color rgb="FF000000"/>
        <rFont val="Arial"/>
        <family val="0"/>
        <charset val="1"/>
      </rPr>
      <t xml:space="preserve">07:15→11:05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16:25→20:15</t>
    </r>
  </si>
  <si>
    <t xml:space="preserve">班次多（待確認）</t>
  </si>
  <si>
    <r>
      <rPr>
        <sz val="10"/>
        <color rgb="FF000000"/>
        <rFont val="WenQuanYi Zen Hei"/>
        <family val="2"/>
      </rPr>
      <t xml:space="preserve">航線最低價（未分航空）：來回 </t>
    </r>
    <r>
      <rPr>
        <sz val="10"/>
        <color rgb="FF000000"/>
        <rFont val="Arial"/>
        <family val="0"/>
        <charset val="1"/>
      </rPr>
      <t xml:space="preserve">Trip.com NT$16,526 </t>
    </r>
    <r>
      <rPr>
        <sz val="10"/>
        <color rgb="FF000000"/>
        <rFont val="WenQuanYi Zen Hei"/>
        <family val="2"/>
      </rPr>
      <t xml:space="preserve">起；單程 </t>
    </r>
    <r>
      <rPr>
        <sz val="10"/>
        <color rgb="FF000000"/>
        <rFont val="Arial"/>
        <family val="0"/>
        <charset val="1"/>
      </rPr>
      <t xml:space="preserve">Expedia NT$10,361 </t>
    </r>
    <r>
      <rPr>
        <sz val="10"/>
        <color rgb="FF000000"/>
        <rFont val="WenQuanYi Zen Hei"/>
        <family val="2"/>
      </rPr>
      <t xml:space="preserve">起。班表為 </t>
    </r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WenQuanYi Zen Hei"/>
        <family val="2"/>
      </rPr>
      <t xml:space="preserve">年資料</t>
    </r>
  </si>
  <si>
    <t xml:space="preserve">F5</t>
  </si>
  <si>
    <t xml:space="preserve">中華航空</t>
  </si>
  <si>
    <r>
      <rPr>
        <sz val="10"/>
        <color rgb="FF000000"/>
        <rFont val="Arial"/>
        <family val="0"/>
        <charset val="1"/>
      </rPr>
      <t xml:space="preserve">CI220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CI222 / CI221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CI223</t>
    </r>
  </si>
  <si>
    <r>
      <rPr>
        <sz val="10"/>
        <color rgb="FF000000"/>
        <rFont val="Arial"/>
        <family val="0"/>
        <charset val="1"/>
      </rPr>
      <t xml:space="preserve">08:50→12:45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18:25→22:15</t>
    </r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</si>
  <si>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F4</t>
    </r>
    <r>
      <rPr>
        <sz val="10"/>
        <color rgb="FF000000"/>
        <rFont val="WenQuanYi Zen Hei"/>
        <family val="2"/>
      </rPr>
      <t xml:space="preserve">，航線最低價參考</t>
    </r>
  </si>
  <si>
    <t xml:space="preserve">F6</t>
  </si>
  <si>
    <t xml:space="preserve">日本航空</t>
  </si>
  <si>
    <r>
      <rPr>
        <sz val="10"/>
        <color rgb="FF000000"/>
        <rFont val="Arial"/>
        <family val="0"/>
        <charset val="1"/>
      </rPr>
      <t xml:space="preserve">JL096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JL098 / JL097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JL099</t>
    </r>
  </si>
  <si>
    <r>
      <rPr>
        <sz val="10"/>
        <color rgb="FF000000"/>
        <rFont val="Arial"/>
        <family val="0"/>
        <charset val="1"/>
      </rPr>
      <t xml:space="preserve">09:30→13:20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15:35 </t>
    </r>
    <r>
      <rPr>
        <sz val="10"/>
        <color rgb="FF000000"/>
        <rFont val="WenQuanYi Zen Hei"/>
        <family val="2"/>
      </rPr>
      <t xml:space="preserve">起飛</t>
    </r>
  </si>
  <si>
    <t xml:space="preserve">F7</t>
  </si>
  <si>
    <t xml:space="preserve">全日空</t>
  </si>
  <si>
    <r>
      <rPr>
        <sz val="10"/>
        <color rgb="FF000000"/>
        <rFont val="Arial"/>
        <family val="0"/>
        <charset val="1"/>
      </rPr>
      <t xml:space="preserve">NH852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NH854 / NH853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NH855</t>
    </r>
  </si>
  <si>
    <r>
      <rPr>
        <sz val="10"/>
        <color rgb="FF000000"/>
        <rFont val="Arial"/>
        <family val="0"/>
        <charset val="1"/>
      </rPr>
      <t xml:space="preserve">13:30→17:30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16:50 </t>
    </r>
    <r>
      <rPr>
        <sz val="10"/>
        <color rgb="FF000000"/>
        <rFont val="WenQuanYi Zen Hei"/>
        <family val="2"/>
      </rPr>
      <t xml:space="preserve">起飛</t>
    </r>
  </si>
  <si>
    <t xml:space="preserve">F8</t>
  </si>
  <si>
    <t xml:space="preserve">桃園⇄羽田</t>
  </si>
  <si>
    <t xml:space="preserve">MM</t>
  </si>
  <si>
    <t xml:space="preserve">依官網</t>
  </si>
  <si>
    <r>
      <rPr>
        <sz val="10"/>
        <color rgb="FF000000"/>
        <rFont val="WenQuanYi Zen Hei"/>
        <family val="2"/>
      </rPr>
      <t xml:space="preserve">單程：比價網近期最低 </t>
    </r>
    <r>
      <rPr>
        <sz val="10"/>
        <color rgb="FF000000"/>
        <rFont val="Arial"/>
        <family val="0"/>
        <charset val="1"/>
      </rPr>
      <t xml:space="preserve">NT$5,386</t>
    </r>
    <r>
      <rPr>
        <sz val="10"/>
        <color rgb="FF000000"/>
        <rFont val="WenQuanYi Zen Hei"/>
        <family val="2"/>
      </rPr>
      <t xml:space="preserve">（促銷曾見 </t>
    </r>
    <r>
      <rPr>
        <sz val="10"/>
        <color rgb="FF000000"/>
        <rFont val="Arial"/>
        <family val="0"/>
        <charset val="1"/>
      </rPr>
      <t xml:space="preserve">2,890 </t>
    </r>
    <r>
      <rPr>
        <sz val="10"/>
        <color rgb="FF000000"/>
        <rFont val="WenQuanYi Zen Hei"/>
        <family val="2"/>
      </rPr>
      <t xml:space="preserve">起）；來回＝單程</t>
    </r>
    <r>
      <rPr>
        <sz val="10"/>
        <color rgb="FF000000"/>
        <rFont val="Arial"/>
        <family val="0"/>
        <charset val="1"/>
      </rPr>
      <t xml:space="preserve">×2 </t>
    </r>
    <r>
      <rPr>
        <sz val="10"/>
        <color rgb="FF000000"/>
        <rFont val="WenQuanYi Zen Hei"/>
        <family val="2"/>
      </rPr>
      <t xml:space="preserve">估算；行李費為估計值</t>
    </r>
  </si>
  <si>
    <t xml:space="preserve">F9</t>
  </si>
  <si>
    <t xml:space="preserve">桃園⇄成田</t>
  </si>
  <si>
    <t xml:space="preserve">捷星日本</t>
  </si>
  <si>
    <t xml:space="preserve">GK</t>
  </si>
  <si>
    <r>
      <rPr>
        <sz val="10"/>
        <color rgb="FF000000"/>
        <rFont val="WenQuanYi Zen Hei"/>
        <family val="2"/>
      </rPr>
      <t xml:space="preserve">單程：比價網近期最低 </t>
    </r>
    <r>
      <rPr>
        <sz val="10"/>
        <color rgb="FF000000"/>
        <rFont val="Arial"/>
        <family val="0"/>
        <charset val="1"/>
      </rPr>
      <t xml:space="preserve">NT$3,748</t>
    </r>
    <r>
      <rPr>
        <sz val="10"/>
        <color rgb="FF000000"/>
        <rFont val="WenQuanYi Zen Hei"/>
        <family val="2"/>
      </rPr>
      <t xml:space="preserve">；來回＝單程</t>
    </r>
    <r>
      <rPr>
        <sz val="10"/>
        <color rgb="FF000000"/>
        <rFont val="Arial"/>
        <family val="0"/>
        <charset val="1"/>
      </rPr>
      <t xml:space="preserve">×2 </t>
    </r>
    <r>
      <rPr>
        <sz val="10"/>
        <color rgb="FF000000"/>
        <rFont val="WenQuanYi Zen Hei"/>
        <family val="2"/>
      </rPr>
      <t xml:space="preserve">估算；行李費為估計值</t>
    </r>
  </si>
  <si>
    <t xml:space="preserve">F10</t>
  </si>
  <si>
    <t xml:space="preserve">IT</t>
  </si>
  <si>
    <r>
      <rPr>
        <sz val="10"/>
        <color rgb="FF000000"/>
        <rFont val="WenQuanYi Zen Hei"/>
        <family val="2"/>
      </rPr>
      <t xml:space="preserve">單程：比價網近期最低 </t>
    </r>
    <r>
      <rPr>
        <sz val="10"/>
        <color rgb="FF000000"/>
        <rFont val="Arial"/>
        <family val="0"/>
        <charset val="1"/>
      </rPr>
      <t xml:space="preserve">NT$6,702</t>
    </r>
    <r>
      <rPr>
        <sz val="10"/>
        <color rgb="FF000000"/>
        <rFont val="WenQuanYi Zen Hei"/>
        <family val="2"/>
      </rPr>
      <t xml:space="preserve">；來回＝單程</t>
    </r>
    <r>
      <rPr>
        <sz val="10"/>
        <color rgb="FF000000"/>
        <rFont val="Arial"/>
        <family val="0"/>
        <charset val="1"/>
      </rPr>
      <t xml:space="preserve">×2 </t>
    </r>
    <r>
      <rPr>
        <sz val="10"/>
        <color rgb="FF000000"/>
        <rFont val="WenQuanYi Zen Hei"/>
        <family val="2"/>
      </rPr>
      <t xml:space="preserve">估算</t>
    </r>
  </si>
  <si>
    <r>
      <rPr>
        <sz val="10"/>
        <color rgb="FF5F7285"/>
        <rFont val="WenQuanYi Zen Hei"/>
        <family val="2"/>
      </rPr>
      <t xml:space="preserve">飛東京時的陸路交通參考：山形新幹線 東京⇄大石田 指定席單程 </t>
    </r>
    <r>
      <rPr>
        <sz val="10"/>
        <color rgb="FF5F7285"/>
        <rFont val="Arial"/>
        <family val="0"/>
        <charset val="1"/>
      </rPr>
      <t xml:space="preserve">¥12,580</t>
    </r>
    <r>
      <rPr>
        <sz val="10"/>
        <color rgb="FF5F7285"/>
        <rFont val="WenQuanYi Zen Hei"/>
        <family val="2"/>
      </rPr>
      <t xml:space="preserve">（駅探）；羽田⇄東京站 約 </t>
    </r>
    <r>
      <rPr>
        <sz val="10"/>
        <color rgb="FF5F7285"/>
        <rFont val="Arial"/>
        <family val="0"/>
        <charset val="1"/>
      </rPr>
      <t xml:space="preserve">¥500</t>
    </r>
    <r>
      <rPr>
        <sz val="10"/>
        <color rgb="FF5F7285"/>
        <rFont val="WenQuanYi Zen Hei"/>
        <family val="2"/>
      </rPr>
      <t xml:space="preserve">（估計）。</t>
    </r>
  </si>
  <si>
    <t xml:space="preserve">機票組合比較（每人，新台幣）</t>
  </si>
  <si>
    <r>
      <rPr>
        <sz val="10"/>
        <color rgb="FF5F7285"/>
        <rFont val="WenQuanYi Zen Hei"/>
        <family val="2"/>
      </rPr>
      <t xml:space="preserve">機票與行李由「機票價格」工作表自動帶入（綠字）；</t>
    </r>
    <r>
      <rPr>
        <sz val="10"/>
        <color rgb="FF5F7285"/>
        <rFont val="Arial"/>
        <family val="0"/>
        <charset val="1"/>
      </rPr>
      <t xml:space="preserve">H </t>
    </r>
    <r>
      <rPr>
        <sz val="10"/>
        <color rgb="FF5F7285"/>
        <rFont val="WenQuanYi Zen Hei"/>
        <family val="2"/>
      </rPr>
      <t xml:space="preserve">欄是相對於仙台進出多出來的陸路交通（日圓，藍字＝估計值，可改）。</t>
    </r>
  </si>
  <si>
    <t xml:space="preserve">代號</t>
  </si>
  <si>
    <t xml:space="preserve">機票</t>
  </si>
  <si>
    <t xml:space="preserve">額外陸路（日圓）</t>
  </si>
  <si>
    <t xml:space="preserve">額外陸路（新台幣）</t>
  </si>
  <si>
    <t xml:space="preserve">機票＋額外交通</t>
  </si>
  <si>
    <t xml:space="preserve">單程到銀山</t>
  </si>
  <si>
    <t xml:space="preserve">★</t>
  </si>
  <si>
    <t xml:space="preserve">早去晚回：長榮去＋虎航回（定案）</t>
  </si>
  <si>
    <r>
      <rPr>
        <sz val="10"/>
        <color rgb="FF000000"/>
        <rFont val="Arial"/>
        <family val="0"/>
        <charset val="1"/>
      </rPr>
      <t xml:space="preserve">1/26 </t>
    </r>
    <r>
      <rPr>
        <sz val="10"/>
        <color rgb="FF000000"/>
        <rFont val="WenQuanYi Zen Hei"/>
        <family val="2"/>
      </rPr>
      <t xml:space="preserve">二–</t>
    </r>
    <r>
      <rPr>
        <sz val="10"/>
        <color rgb="FF000000"/>
        <rFont val="Arial"/>
        <family val="0"/>
        <charset val="1"/>
      </rPr>
      <t xml:space="preserve">1/31 </t>
    </r>
    <r>
      <rPr>
        <sz val="10"/>
        <color rgb="FF000000"/>
        <rFont val="WenQuanYi Zen Hei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</si>
  <si>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BR118 08:45 </t>
    </r>
    <r>
      <rPr>
        <sz val="10"/>
        <color rgb="FF000000"/>
        <rFont val="WenQuanYi Zen Hei"/>
        <family val="2"/>
      </rPr>
      <t xml:space="preserve">桃園→仙台 </t>
    </r>
    <r>
      <rPr>
        <sz val="10"/>
        <color rgb="FF000000"/>
        <rFont val="Arial"/>
        <family val="0"/>
        <charset val="1"/>
      </rPr>
      <t xml:space="preserve">13:00</t>
    </r>
  </si>
  <si>
    <r>
      <rPr>
        <sz val="10"/>
        <color rgb="FF000000"/>
        <rFont val="Arial"/>
        <family val="0"/>
        <charset val="1"/>
      </rPr>
      <t xml:space="preserve">IT255 19:00 </t>
    </r>
    <r>
      <rPr>
        <sz val="10"/>
        <color rgb="FF000000"/>
        <rFont val="WenQuanYi Zen Hei"/>
        <family val="2"/>
      </rPr>
      <t xml:space="preserve">仙台→桃園 </t>
    </r>
    <r>
      <rPr>
        <sz val="10"/>
        <color rgb="FF000000"/>
        <rFont val="Arial"/>
        <family val="0"/>
        <charset val="1"/>
      </rPr>
      <t xml:space="preserve">21:55</t>
    </r>
  </si>
  <si>
    <r>
      <rPr>
        <sz val="10"/>
        <color rgb="FF000000"/>
        <rFont val="Arial"/>
        <family val="0"/>
        <charset val="1"/>
      </rPr>
      <t xml:space="preserve">2–3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</si>
  <si>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去程中午就到仙台、回程晚上才起飛，頭尾兩天都能玩。需確認 </t>
    </r>
    <r>
      <rPr>
        <sz val="10"/>
        <color rgb="FF000000"/>
        <rFont val="Arial"/>
        <family val="0"/>
        <charset val="1"/>
      </rPr>
      <t xml:space="preserve">1/26</t>
    </r>
    <r>
      <rPr>
        <sz val="10"/>
        <color rgb="FF000000"/>
        <rFont val="WenQuanYi Zen Hei"/>
        <family val="2"/>
      </rPr>
      <t xml:space="preserve">（二）長榮、</t>
    </r>
    <r>
      <rPr>
        <sz val="10"/>
        <color rgb="FF000000"/>
        <rFont val="Arial"/>
        <family val="0"/>
        <charset val="1"/>
      </rPr>
      <t xml:space="preserve">1/31</t>
    </r>
    <r>
      <rPr>
        <sz val="10"/>
        <color rgb="FF000000"/>
        <rFont val="WenQuanYi Zen Hei"/>
        <family val="2"/>
      </rPr>
      <t xml:space="preserve">（日）虎航有飛；備案：去程星宇 </t>
    </r>
    <r>
      <rPr>
        <sz val="10"/>
        <color rgb="FF000000"/>
        <rFont val="Arial"/>
        <family val="0"/>
        <charset val="1"/>
      </rPr>
      <t xml:space="preserve">JX862 11:40</t>
    </r>
    <r>
      <rPr>
        <sz val="10"/>
        <color rgb="FF000000"/>
        <rFont val="WenQuanYi Zen Hei"/>
        <family val="2"/>
      </rPr>
      <t xml:space="preserve">、回程星宇 </t>
    </r>
    <r>
      <rPr>
        <sz val="10"/>
        <color rgb="FF000000"/>
        <rFont val="Arial"/>
        <family val="0"/>
        <charset val="1"/>
      </rPr>
      <t xml:space="preserve">JX863 17:20</t>
    </r>
    <r>
      <rPr>
        <sz val="10"/>
        <color rgb="FF000000"/>
        <rFont val="WenQuanYi Zen Hei"/>
        <family val="2"/>
      </rPr>
      <t xml:space="preserve">（每日）</t>
    </r>
  </si>
  <si>
    <t xml:space="preserve">A</t>
  </si>
  <si>
    <t xml:space="preserve">虎航來回（最便宜）</t>
  </si>
  <si>
    <r>
      <rPr>
        <sz val="10"/>
        <color rgb="FF000000"/>
        <rFont val="Arial"/>
        <family val="0"/>
        <charset val="1"/>
      </rPr>
      <t xml:space="preserve">IT254 </t>
    </r>
    <r>
      <rPr>
        <sz val="10"/>
        <color rgb="FF000000"/>
        <rFont val="WenQuanYi Zen Hei"/>
        <family val="2"/>
      </rPr>
      <t xml:space="preserve">桃園→仙台</t>
    </r>
  </si>
  <si>
    <r>
      <rPr>
        <sz val="10"/>
        <color rgb="FF000000"/>
        <rFont val="Arial"/>
        <family val="0"/>
        <charset val="1"/>
      </rPr>
      <t xml:space="preserve">IT255 </t>
    </r>
    <r>
      <rPr>
        <sz val="10"/>
        <color rgb="FF000000"/>
        <rFont val="WenQuanYi Zen Hei"/>
        <family val="2"/>
      </rPr>
      <t xml:space="preserve">仙台→桃園</t>
    </r>
  </si>
  <si>
    <r>
      <rPr>
        <sz val="10"/>
        <color rgb="FF000000"/>
        <rFont val="WenQuanYi Zen Hei"/>
        <family val="2"/>
      </rPr>
      <t xml:space="preserve">最便宜；回程 </t>
    </r>
    <r>
      <rPr>
        <sz val="10"/>
        <color rgb="FF000000"/>
        <rFont val="Arial"/>
        <family val="0"/>
        <charset val="1"/>
      </rPr>
      <t xml:space="preserve">19:00 </t>
    </r>
    <r>
      <rPr>
        <sz val="10"/>
        <color rgb="FF000000"/>
        <rFont val="WenQuanYi Zen Hei"/>
        <family val="2"/>
      </rPr>
      <t xml:space="preserve">起飛，最後一天可玩松島。需確認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月二、日有飛</t>
    </r>
  </si>
  <si>
    <t xml:space="preserve">B</t>
  </si>
  <si>
    <t xml:space="preserve">長榮去＋虎航回</t>
  </si>
  <si>
    <r>
      <rPr>
        <sz val="10"/>
        <color rgb="FF000000"/>
        <rFont val="Arial"/>
        <family val="0"/>
        <charset val="1"/>
      </rPr>
      <t xml:space="preserve">1/27 </t>
    </r>
    <r>
      <rPr>
        <sz val="10"/>
        <color rgb="FF000000"/>
        <rFont val="WenQuanYi Zen Hei"/>
        <family val="2"/>
      </rPr>
      <t xml:space="preserve">三–</t>
    </r>
    <r>
      <rPr>
        <sz val="10"/>
        <color rgb="FF000000"/>
        <rFont val="Arial"/>
        <family val="0"/>
        <charset val="1"/>
      </rPr>
      <t xml:space="preserve">1/31 </t>
    </r>
    <r>
      <rPr>
        <sz val="10"/>
        <color rgb="FF000000"/>
        <rFont val="WenQuanYi Zen Hei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</si>
  <si>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BR118 </t>
    </r>
    <r>
      <rPr>
        <sz val="10"/>
        <color rgb="FF000000"/>
        <rFont val="WenQuanYi Zen Hei"/>
        <family val="2"/>
      </rPr>
      <t xml:space="preserve">桃園→仙台</t>
    </r>
  </si>
  <si>
    <r>
      <rPr>
        <sz val="10"/>
        <color rgb="FF000000"/>
        <rFont val="WenQuanYi Zen Hei"/>
        <family val="2"/>
      </rPr>
      <t xml:space="preserve">只請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天；兩段分開買單程</t>
    </r>
  </si>
  <si>
    <t xml:space="preserve">C</t>
  </si>
  <si>
    <t xml:space="preserve">星宇來回</t>
  </si>
  <si>
    <r>
      <rPr>
        <sz val="10"/>
        <color rgb="FF000000"/>
        <rFont val="Arial"/>
        <family val="0"/>
        <charset val="1"/>
      </rPr>
      <t xml:space="preserve">JX862 </t>
    </r>
    <r>
      <rPr>
        <sz val="10"/>
        <color rgb="FF000000"/>
        <rFont val="WenQuanYi Zen Hei"/>
        <family val="2"/>
      </rPr>
      <t xml:space="preserve">桃園→仙台</t>
    </r>
  </si>
  <si>
    <r>
      <rPr>
        <sz val="10"/>
        <color rgb="FF000000"/>
        <rFont val="Arial"/>
        <family val="0"/>
        <charset val="1"/>
      </rPr>
      <t xml:space="preserve">JX863 </t>
    </r>
    <r>
      <rPr>
        <sz val="10"/>
        <color rgb="FF000000"/>
        <rFont val="WenQuanYi Zen Hei"/>
        <family val="2"/>
      </rPr>
      <t xml:space="preserve">仙台→桃園</t>
    </r>
  </si>
  <si>
    <t xml:space="preserve">每天都飛，日期最彈性；含行李和餐點</t>
  </si>
  <si>
    <t xml:space="preserve">D</t>
  </si>
  <si>
    <t xml:space="preserve">松山⇄羽田來回（長榮）</t>
  </si>
  <si>
    <r>
      <rPr>
        <sz val="10"/>
        <color rgb="FF000000"/>
        <rFont val="Arial"/>
        <family val="0"/>
        <charset val="1"/>
      </rPr>
      <t xml:space="preserve">BR192 </t>
    </r>
    <r>
      <rPr>
        <sz val="10"/>
        <color rgb="FF000000"/>
        <rFont val="WenQuanYi Zen Hei"/>
        <family val="2"/>
      </rPr>
      <t xml:space="preserve">松山→羽田</t>
    </r>
  </si>
  <si>
    <r>
      <rPr>
        <sz val="10"/>
        <color rgb="FF000000"/>
        <rFont val="Arial"/>
        <family val="0"/>
        <charset val="1"/>
      </rPr>
      <t xml:space="preserve">BR189/191 </t>
    </r>
    <r>
      <rPr>
        <sz val="10"/>
        <color rgb="FF000000"/>
        <rFont val="WenQuanYi Zen Hei"/>
        <family val="2"/>
      </rPr>
      <t xml:space="preserve">羽田→松山</t>
    </r>
  </si>
  <si>
    <r>
      <rPr>
        <sz val="10"/>
        <color rgb="FF000000"/>
        <rFont val="Arial"/>
        <family val="0"/>
        <charset val="1"/>
      </rPr>
      <t xml:space="preserve">4.5–5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</si>
  <si>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離家最近；可順遊東京。額外交通＝新幹線來回＋羽田⇄東京，扣掉仙台方案的 </t>
    </r>
    <r>
      <rPr>
        <sz val="10"/>
        <color rgb="FF000000"/>
        <rFont val="Arial"/>
        <family val="0"/>
        <charset val="1"/>
      </rPr>
      <t xml:space="preserve">JR </t>
    </r>
    <r>
      <rPr>
        <sz val="10"/>
        <color rgb="FF000000"/>
        <rFont val="WenQuanYi Zen Hei"/>
        <family val="2"/>
      </rPr>
      <t xml:space="preserve">與機場線</t>
    </r>
  </si>
  <si>
    <t xml:space="preserve">E</t>
  </si>
  <si>
    <t xml:space="preserve">開口：虎航去仙台＋羽田回松山</t>
  </si>
  <si>
    <r>
      <rPr>
        <sz val="10"/>
        <color rgb="FF000000"/>
        <rFont val="WenQuanYi Zen Hei"/>
        <family val="2"/>
      </rPr>
      <t xml:space="preserve">去程最便宜；</t>
    </r>
    <r>
      <rPr>
        <sz val="10"/>
        <color rgb="FF000000"/>
        <rFont val="Arial"/>
        <family val="0"/>
        <charset val="1"/>
      </rPr>
      <t xml:space="preserve">1/30 </t>
    </r>
    <r>
      <rPr>
        <sz val="10"/>
        <color rgb="FF000000"/>
        <rFont val="WenQuanYi Zen Hei"/>
        <family val="2"/>
      </rPr>
      <t xml:space="preserve">從大石田搭新幹線直達東京，不走回頭路</t>
    </r>
  </si>
  <si>
    <t xml:space="preserve">F</t>
  </si>
  <si>
    <t xml:space="preserve">樂桃 桃園⇄羽田＋新幹線</t>
  </si>
  <si>
    <t xml:space="preserve">樂桃 桃園→羽田</t>
  </si>
  <si>
    <t xml:space="preserve">樂桃 羽田→桃園</t>
  </si>
  <si>
    <t xml:space="preserve">只有在東京機票特價很多時才划算</t>
  </si>
  <si>
    <t xml:space="preserve">最便宜方案：</t>
  </si>
  <si>
    <t xml:space="preserve">定案行程：每日當地花費（每人）</t>
  </si>
  <si>
    <r>
      <rPr>
        <sz val="10"/>
        <color rgb="FF5F7285"/>
        <rFont val="WenQuanYi Zen Hei"/>
        <family val="2"/>
      </rPr>
      <t xml:space="preserve">藍字為估計值，可依實際訂房、車票修改；銀山溫泉住宿引用「總覽」</t>
    </r>
    <r>
      <rPr>
        <sz val="10"/>
        <color rgb="FF5F7285"/>
        <rFont val="Arial"/>
        <family val="0"/>
        <charset val="1"/>
      </rPr>
      <t xml:space="preserve">B7</t>
    </r>
    <r>
      <rPr>
        <sz val="10"/>
        <color rgb="FF5F7285"/>
        <rFont val="WenQuanYi Zen Hei"/>
        <family val="2"/>
      </rPr>
      <t xml:space="preserve">。</t>
    </r>
  </si>
  <si>
    <t xml:space="preserve">交通方式</t>
  </si>
  <si>
    <t xml:space="preserve">交通費（日圓）</t>
  </si>
  <si>
    <t xml:space="preserve">住宿地點</t>
  </si>
  <si>
    <t xml:space="preserve">住宿費（日圓）</t>
  </si>
  <si>
    <t xml:space="preserve">門票／活動（日圓）</t>
  </si>
  <si>
    <t xml:space="preserve">小計（日圓）</t>
  </si>
  <si>
    <t xml:space="preserve">小計（新台幣）</t>
  </si>
  <si>
    <t xml:space="preserve">桃園 → 仙台；下午仙台城跡、瑞鳳殿，晚餐吃牛舌</t>
  </si>
  <si>
    <r>
      <rPr>
        <sz val="10"/>
        <color rgb="FF000000"/>
        <rFont val="WenQuanYi Zen Hei"/>
        <family val="2"/>
      </rPr>
      <t xml:space="preserve">長榮 </t>
    </r>
    <r>
      <rPr>
        <sz val="10"/>
        <color rgb="FF000000"/>
        <rFont val="Arial"/>
        <family val="0"/>
        <charset val="1"/>
      </rPr>
      <t xml:space="preserve">BR118 08:45→13:00</t>
    </r>
    <r>
      <rPr>
        <sz val="10"/>
        <color rgb="FF000000"/>
        <rFont val="WenQuanYi Zen Hei"/>
        <family val="2"/>
      </rPr>
      <t xml:space="preserve">；仙台機場線 </t>
    </r>
    <r>
      <rPr>
        <sz val="10"/>
        <color rgb="FF000000"/>
        <rFont val="Arial"/>
        <family val="0"/>
        <charset val="1"/>
      </rPr>
      <t xml:space="preserve">¥680</t>
    </r>
    <r>
      <rPr>
        <sz val="10"/>
        <color rgb="FF000000"/>
        <rFont val="WenQuanYi Zen Hei"/>
        <family val="2"/>
      </rPr>
      <t xml:space="preserve">；觀光巴士 </t>
    </r>
    <r>
      <rPr>
        <sz val="10"/>
        <color rgb="FF000000"/>
        <rFont val="Arial"/>
        <family val="0"/>
        <charset val="1"/>
      </rPr>
      <t xml:space="preserve">Loople </t>
    </r>
    <r>
      <rPr>
        <sz val="10"/>
        <color rgb="FF000000"/>
        <rFont val="WenQuanYi Zen Hei"/>
        <family val="2"/>
      </rPr>
      <t xml:space="preserve">一日券 </t>
    </r>
    <r>
      <rPr>
        <sz val="10"/>
        <color rgb="FF000000"/>
        <rFont val="Arial"/>
        <family val="0"/>
        <charset val="1"/>
      </rPr>
      <t xml:space="preserve">¥630</t>
    </r>
  </si>
  <si>
    <t xml:space="preserve">仙台站周邊</t>
  </si>
  <si>
    <r>
      <rPr>
        <sz val="10"/>
        <color rgb="FF5F7285"/>
        <rFont val="WenQuanYi Zen Hei"/>
        <family val="2"/>
      </rPr>
      <t xml:space="preserve">瑞鳳殿門票 </t>
    </r>
    <r>
      <rPr>
        <sz val="10"/>
        <color rgb="FF5F7285"/>
        <rFont val="Arial"/>
        <family val="0"/>
        <charset val="1"/>
      </rPr>
      <t xml:space="preserve">¥570</t>
    </r>
    <r>
      <rPr>
        <sz val="10"/>
        <color rgb="FF5F7285"/>
        <rFont val="WenQuanYi Zen Hei"/>
        <family val="2"/>
      </rPr>
      <t xml:space="preserve">；商務旅館估計 </t>
    </r>
    <r>
      <rPr>
        <sz val="10"/>
        <color rgb="FF5F7285"/>
        <rFont val="Arial"/>
        <family val="0"/>
        <charset val="1"/>
      </rPr>
      <t xml:space="preserve">¥8,000–10,000</t>
    </r>
  </si>
  <si>
    <t xml:space="preserve">山寺（立石寺）→ 藏王溫泉，看樹冰夜景</t>
  </si>
  <si>
    <r>
      <rPr>
        <sz val="10"/>
        <color rgb="FF000000"/>
        <rFont val="Arial"/>
        <family val="0"/>
        <charset val="1"/>
      </rPr>
      <t xml:space="preserve">JR </t>
    </r>
    <r>
      <rPr>
        <sz val="10"/>
        <color rgb="FF000000"/>
        <rFont val="WenQuanYi Zen Hei"/>
        <family val="2"/>
      </rPr>
      <t xml:space="preserve">仙山線 仙台→山寺 → 山形；山交巴士 山形→藏王溫泉 </t>
    </r>
    <r>
      <rPr>
        <sz val="10"/>
        <color rgb="FF000000"/>
        <rFont val="Arial"/>
        <family val="0"/>
        <charset val="1"/>
      </rPr>
      <t xml:space="preserve">¥1,200</t>
    </r>
  </si>
  <si>
    <r>
      <rPr>
        <sz val="10"/>
        <color rgb="FF5F7285"/>
        <rFont val="WenQuanYi Zen Hei"/>
        <family val="2"/>
      </rPr>
      <t xml:space="preserve">溫泉旅館多含早晚餐，估計 </t>
    </r>
    <r>
      <rPr>
        <sz val="10"/>
        <color rgb="FF5F7285"/>
        <rFont val="Arial"/>
        <family val="0"/>
        <charset val="1"/>
      </rPr>
      <t xml:space="preserve">¥15,000–25,000</t>
    </r>
    <r>
      <rPr>
        <sz val="10"/>
        <color rgb="FF5F7285"/>
        <rFont val="WenQuanYi Zen Hei"/>
        <family val="2"/>
      </rPr>
      <t xml:space="preserve">；</t>
    </r>
    <r>
      <rPr>
        <sz val="10"/>
        <color rgb="FF5F7285"/>
        <rFont val="Arial"/>
        <family val="0"/>
        <charset val="1"/>
      </rPr>
      <t xml:space="preserve">JR </t>
    </r>
    <r>
      <rPr>
        <sz val="10"/>
        <color rgb="FF5F7285"/>
        <rFont val="WenQuanYi Zen Hei"/>
        <family val="2"/>
      </rPr>
      <t xml:space="preserve">車資為估計</t>
    </r>
  </si>
  <si>
    <t xml:space="preserve">藏王樹冰（白天）→ 山形市區</t>
  </si>
  <si>
    <r>
      <rPr>
        <sz val="10"/>
        <color rgb="FF000000"/>
        <rFont val="WenQuanYi Zen Hei"/>
        <family val="2"/>
      </rPr>
      <t xml:space="preserve">藏王纜車來回 </t>
    </r>
    <r>
      <rPr>
        <sz val="10"/>
        <color rgb="FF000000"/>
        <rFont val="Arial"/>
        <family val="0"/>
        <charset val="1"/>
      </rPr>
      <t xml:space="preserve">¥4,400</t>
    </r>
    <r>
      <rPr>
        <sz val="10"/>
        <color rgb="FF000000"/>
        <rFont val="WenQuanYi Zen Hei"/>
        <family val="2"/>
      </rPr>
      <t xml:space="preserve">；巴士 藏王→山形 </t>
    </r>
    <r>
      <rPr>
        <sz val="10"/>
        <color rgb="FF000000"/>
        <rFont val="Arial"/>
        <family val="0"/>
        <charset val="1"/>
      </rPr>
      <t xml:space="preserve">¥1,200</t>
    </r>
  </si>
  <si>
    <t xml:space="preserve">山形站周邊</t>
  </si>
  <si>
    <r>
      <rPr>
        <sz val="10"/>
        <color rgb="FF5F7285"/>
        <rFont val="WenQuanYi Zen Hei"/>
        <family val="2"/>
      </rPr>
      <t xml:space="preserve">可改買樹冰觀景套票 </t>
    </r>
    <r>
      <rPr>
        <sz val="10"/>
        <color rgb="FF5F7285"/>
        <rFont val="Arial"/>
        <family val="0"/>
        <charset val="1"/>
      </rPr>
      <t xml:space="preserve">¥6,600</t>
    </r>
    <r>
      <rPr>
        <sz val="10"/>
        <color rgb="FF5F7285"/>
        <rFont val="WenQuanYi Zen Hei"/>
        <family val="2"/>
      </rPr>
      <t xml:space="preserve">（含巴士來回＋纜車）</t>
    </r>
  </si>
  <si>
    <r>
      <rPr>
        <sz val="10"/>
        <color rgb="FF000000"/>
        <rFont val="Arial"/>
        <family val="0"/>
        <charset val="1"/>
      </rPr>
      <t xml:space="preserve">1/29 </t>
    </r>
    <r>
      <rPr>
        <sz val="10"/>
        <color rgb="FF000000"/>
        <rFont val="WenQuanYi Zen Hei"/>
        <family val="2"/>
      </rPr>
      <t xml:space="preserve">五</t>
    </r>
  </si>
  <si>
    <t xml:space="preserve">銀山溫泉 ♨（已訂）</t>
  </si>
  <si>
    <r>
      <rPr>
        <sz val="10"/>
        <color rgb="FF000000"/>
        <rFont val="Arial"/>
        <family val="0"/>
        <charset val="1"/>
      </rPr>
      <t xml:space="preserve">JR </t>
    </r>
    <r>
      <rPr>
        <sz val="10"/>
        <color rgb="FF000000"/>
        <rFont val="WenQuanYi Zen Hei"/>
        <family val="2"/>
      </rPr>
      <t xml:space="preserve">山形→大石田；巴士 大石田→銀山溫泉 </t>
    </r>
    <r>
      <rPr>
        <sz val="10"/>
        <color rgb="FF000000"/>
        <rFont val="Arial"/>
        <family val="0"/>
        <charset val="1"/>
      </rPr>
      <t xml:space="preserve">¥1,000</t>
    </r>
    <r>
      <rPr>
        <sz val="10"/>
        <color rgb="FF000000"/>
        <rFont val="WenQuanYi Zen Hei"/>
        <family val="2"/>
      </rPr>
      <t xml:space="preserve">（只收現金）</t>
    </r>
  </si>
  <si>
    <t xml:space="preserve">銀山溫泉</t>
  </si>
  <si>
    <r>
      <rPr>
        <sz val="10"/>
        <color rgb="FF5F7285"/>
        <rFont val="Arial"/>
        <family val="0"/>
        <charset val="1"/>
      </rPr>
      <t xml:space="preserve">JR </t>
    </r>
    <r>
      <rPr>
        <sz val="10"/>
        <color rgb="FF5F7285"/>
        <rFont val="WenQuanYi Zen Hei"/>
        <family val="2"/>
      </rPr>
      <t xml:space="preserve">車資為估計；請向旅館確認是否有接送</t>
    </r>
  </si>
  <si>
    <t xml:space="preserve">銀山溫泉清晨拍照 → 仙台</t>
  </si>
  <si>
    <r>
      <rPr>
        <sz val="10"/>
        <color rgb="FF000000"/>
        <rFont val="WenQuanYi Zen Hei"/>
        <family val="2"/>
      </rPr>
      <t xml:space="preserve">巴士 銀山溫泉→大石田 </t>
    </r>
    <r>
      <rPr>
        <sz val="10"/>
        <color rgb="FF000000"/>
        <rFont val="Arial"/>
        <family val="0"/>
        <charset val="1"/>
      </rPr>
      <t xml:space="preserve">¥1,000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JR </t>
    </r>
    <r>
      <rPr>
        <sz val="10"/>
        <color rgb="FF000000"/>
        <rFont val="WenQuanYi Zen Hei"/>
        <family val="2"/>
      </rPr>
      <t xml:space="preserve">大石田→仙台 </t>
    </r>
    <r>
      <rPr>
        <sz val="10"/>
        <color rgb="FF000000"/>
        <rFont val="Arial"/>
        <family val="0"/>
        <charset val="1"/>
      </rPr>
      <t xml:space="preserve">¥1,690</t>
    </r>
  </si>
  <si>
    <t xml:space="preserve">松島（遊覽船、瑞巖寺、烤牡蠣）→ 仙台機場 → 桃園</t>
  </si>
  <si>
    <r>
      <rPr>
        <sz val="10"/>
        <color rgb="FF000000"/>
        <rFont val="Arial"/>
        <family val="0"/>
        <charset val="1"/>
      </rPr>
      <t xml:space="preserve">JR </t>
    </r>
    <r>
      <rPr>
        <sz val="10"/>
        <color rgb="FF000000"/>
        <rFont val="WenQuanYi Zen Hei"/>
        <family val="2"/>
      </rPr>
      <t xml:space="preserve">仙石線 來回約 </t>
    </r>
    <r>
      <rPr>
        <sz val="10"/>
        <color rgb="FF000000"/>
        <rFont val="Arial"/>
        <family val="0"/>
        <charset val="1"/>
      </rPr>
      <t xml:space="preserve">¥860</t>
    </r>
    <r>
      <rPr>
        <sz val="10"/>
        <color rgb="FF000000"/>
        <rFont val="WenQuanYi Zen Hei"/>
        <family val="2"/>
      </rPr>
      <t xml:space="preserve">；仙台機場線 </t>
    </r>
    <r>
      <rPr>
        <sz val="10"/>
        <color rgb="FF000000"/>
        <rFont val="Arial"/>
        <family val="0"/>
        <charset val="1"/>
      </rPr>
      <t xml:space="preserve">¥680</t>
    </r>
  </si>
  <si>
    <r>
      <rPr>
        <sz val="10"/>
        <color rgb="FF5F7285"/>
        <rFont val="WenQuanYi Zen Hei"/>
        <family val="2"/>
      </rPr>
      <t xml:space="preserve">遊覽船約 </t>
    </r>
    <r>
      <rPr>
        <sz val="10"/>
        <color rgb="FF5F7285"/>
        <rFont val="Arial"/>
        <family val="0"/>
        <charset val="1"/>
      </rPr>
      <t xml:space="preserve">¥1,500</t>
    </r>
    <r>
      <rPr>
        <sz val="10"/>
        <color rgb="FF5F7285"/>
        <rFont val="WenQuanYi Zen Hei"/>
        <family val="2"/>
      </rPr>
      <t xml:space="preserve">＋瑞巖寺 </t>
    </r>
    <r>
      <rPr>
        <sz val="10"/>
        <color rgb="FF5F7285"/>
        <rFont val="Arial"/>
        <family val="0"/>
        <charset val="1"/>
      </rPr>
      <t xml:space="preserve">¥700</t>
    </r>
    <r>
      <rPr>
        <sz val="10"/>
        <color rgb="FF5F7285"/>
        <rFont val="WenQuanYi Zen Hei"/>
        <family val="2"/>
      </rPr>
      <t xml:space="preserve">；虎航 </t>
    </r>
    <r>
      <rPr>
        <sz val="10"/>
        <color rgb="FF5F7285"/>
        <rFont val="Arial"/>
        <family val="0"/>
        <charset val="1"/>
      </rPr>
      <t xml:space="preserve">IT255 19:00→21:55</t>
    </r>
  </si>
  <si>
    <t xml:space="preserve">餐費（每日）</t>
  </si>
  <si>
    <t xml:space="preserve">估計：旅館含餐的日子實際會更少</t>
  </si>
  <si>
    <r>
      <rPr>
        <sz val="10"/>
        <color rgb="FF000000"/>
        <rFont val="WenQuanYi Zen Hei"/>
        <family val="2"/>
      </rPr>
      <t xml:space="preserve">餐費合計（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天）</t>
    </r>
  </si>
  <si>
    <t xml:space="preserve">當地花費總計</t>
  </si>
  <si>
    <t xml:space="preserve">項目</t>
  </si>
  <si>
    <t xml:space="preserve">建議完成時間</t>
  </si>
  <si>
    <t xml:space="preserve">狀態</t>
  </si>
  <si>
    <r>
      <rPr>
        <sz val="10"/>
        <color rgb="FF000000"/>
        <rFont val="WenQuanYi Zen Hei"/>
        <family val="2"/>
      </rPr>
      <t xml:space="preserve">查長榮 </t>
    </r>
    <r>
      <rPr>
        <sz val="10"/>
        <color rgb="FF000000"/>
        <rFont val="Arial"/>
        <family val="0"/>
        <charset val="1"/>
      </rPr>
      <t xml:space="preserve">1/26</t>
    </r>
    <r>
      <rPr>
        <sz val="10"/>
        <color rgb="FF000000"/>
        <rFont val="WenQuanYi Zen Hei"/>
        <family val="2"/>
      </rPr>
      <t xml:space="preserve">（二）</t>
    </r>
    <r>
      <rPr>
        <sz val="10"/>
        <color rgb="FF000000"/>
        <rFont val="Arial"/>
        <family val="0"/>
        <charset val="1"/>
      </rPr>
      <t xml:space="preserve">BR118 </t>
    </r>
    <r>
      <rPr>
        <sz val="10"/>
        <color rgb="FF000000"/>
        <rFont val="WenQuanYi Zen Hei"/>
        <family val="2"/>
      </rPr>
      <t xml:space="preserve">單程、虎航 </t>
    </r>
    <r>
      <rPr>
        <sz val="10"/>
        <color rgb="FF000000"/>
        <rFont val="Arial"/>
        <family val="0"/>
        <charset val="1"/>
      </rPr>
      <t xml:space="preserve">1/31</t>
    </r>
    <r>
      <rPr>
        <sz val="10"/>
        <color rgb="FF000000"/>
        <rFont val="WenQuanYi Zen Hei"/>
        <family val="2"/>
      </rPr>
      <t xml:space="preserve">（日）</t>
    </r>
    <r>
      <rPr>
        <sz val="10"/>
        <color rgb="FF000000"/>
        <rFont val="Arial"/>
        <family val="0"/>
        <charset val="1"/>
      </rPr>
      <t xml:space="preserve">IT255 </t>
    </r>
    <r>
      <rPr>
        <sz val="10"/>
        <color rgb="FF000000"/>
        <rFont val="WenQuanYi Zen Hei"/>
        <family val="2"/>
      </rPr>
      <t xml:space="preserve">單程價格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</si>
  <si>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月上旬</t>
    </r>
  </si>
  <si>
    <t xml:space="preserve">未開始</t>
  </si>
  <si>
    <r>
      <rPr>
        <sz val="10"/>
        <color rgb="FF000000"/>
        <rFont val="WenQuanYi Zen Hei"/>
        <family val="2"/>
      </rPr>
      <t xml:space="preserve">確認這兩天有飛；價格填回「機票價格」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J5</t>
    </r>
  </si>
  <si>
    <r>
      <rPr>
        <sz val="10"/>
        <color rgb="FF000000"/>
        <rFont val="WenQuanYi Zen Hei"/>
        <family val="2"/>
      </rPr>
      <t xml:space="preserve">備案：查星宇 </t>
    </r>
    <r>
      <rPr>
        <sz val="10"/>
        <color rgb="FF000000"/>
        <rFont val="Arial"/>
        <family val="0"/>
        <charset val="1"/>
      </rPr>
      <t xml:space="preserve">JX862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JX863 </t>
    </r>
    <r>
      <rPr>
        <sz val="10"/>
        <color rgb="FF000000"/>
        <rFont val="WenQuanYi Zen Hei"/>
        <family val="2"/>
      </rPr>
      <t xml:space="preserve">單程價</t>
    </r>
  </si>
  <si>
    <r>
      <rPr>
        <sz val="10"/>
        <color rgb="FF000000"/>
        <rFont val="WenQuanYi Zen Hei"/>
        <family val="2"/>
      </rPr>
      <t xml:space="preserve">長榮或虎航當天沒飛時使用，填入 </t>
    </r>
    <r>
      <rPr>
        <sz val="10"/>
        <color rgb="FF000000"/>
        <rFont val="Arial"/>
        <family val="0"/>
        <charset val="1"/>
      </rPr>
      <t xml:space="preserve">J7</t>
    </r>
  </si>
  <si>
    <t xml:space="preserve">查松山⇄羽田的價格（開口方案用）</t>
  </si>
  <si>
    <r>
      <rPr>
        <sz val="10"/>
        <color rgb="FF000000"/>
        <rFont val="WenQuanYi Zen Hei"/>
        <family val="2"/>
      </rPr>
      <t xml:space="preserve">填入 </t>
    </r>
    <r>
      <rPr>
        <sz val="10"/>
        <color rgb="FF000000"/>
        <rFont val="Arial"/>
        <family val="0"/>
        <charset val="1"/>
      </rPr>
      <t xml:space="preserve">J8–J11</t>
    </r>
  </si>
  <si>
    <t xml:space="preserve">訂機票並預購托運行李</t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</si>
  <si>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月中</t>
    </r>
  </si>
  <si>
    <r>
      <rPr>
        <sz val="10"/>
        <color rgb="FF000000"/>
        <rFont val="WenQuanYi Zen Hei"/>
        <family val="2"/>
      </rPr>
      <t xml:space="preserve">虎航訂票時加購 </t>
    </r>
    <r>
      <rPr>
        <sz val="10"/>
        <color rgb="FF000000"/>
        <rFont val="Arial"/>
        <family val="0"/>
        <charset val="1"/>
      </rPr>
      <t xml:space="preserve">20kg NT$950</t>
    </r>
    <r>
      <rPr>
        <sz val="10"/>
        <color rgb="FF000000"/>
        <rFont val="WenQuanYi Zen Hei"/>
        <family val="2"/>
      </rPr>
      <t xml:space="preserve">／段</t>
    </r>
  </si>
  <si>
    <r>
      <rPr>
        <sz val="10"/>
        <color rgb="FF000000"/>
        <rFont val="WenQuanYi Zen Hei"/>
        <family val="2"/>
      </rPr>
      <t xml:space="preserve">訂 </t>
    </r>
    <r>
      <rPr>
        <sz val="10"/>
        <color rgb="FF000000"/>
        <rFont val="Arial"/>
        <family val="0"/>
        <charset val="1"/>
      </rPr>
      <t xml:space="preserve">1/26 </t>
    </r>
    <r>
      <rPr>
        <sz val="10"/>
        <color rgb="FF000000"/>
        <rFont val="WenQuanYi Zen Hei"/>
        <family val="2"/>
      </rPr>
      <t xml:space="preserve">仙台、</t>
    </r>
    <r>
      <rPr>
        <sz val="10"/>
        <color rgb="FF000000"/>
        <rFont val="Arial"/>
        <family val="0"/>
        <charset val="1"/>
      </rPr>
      <t xml:space="preserve">1/27 </t>
    </r>
    <r>
      <rPr>
        <sz val="10"/>
        <color rgb="FF000000"/>
        <rFont val="WenQuanYi Zen Hei"/>
        <family val="2"/>
      </rPr>
      <t xml:space="preserve">藏王溫泉、</t>
    </r>
    <r>
      <rPr>
        <sz val="10"/>
        <color rgb="FF000000"/>
        <rFont val="Arial"/>
        <family val="0"/>
        <charset val="1"/>
      </rPr>
      <t xml:space="preserve">1/28 </t>
    </r>
    <r>
      <rPr>
        <sz val="10"/>
        <color rgb="FF000000"/>
        <rFont val="WenQuanYi Zen Hei"/>
        <family val="2"/>
      </rPr>
      <t xml:space="preserve">山形、</t>
    </r>
    <r>
      <rPr>
        <sz val="10"/>
        <color rgb="FF000000"/>
        <rFont val="Arial"/>
        <family val="0"/>
        <charset val="1"/>
      </rPr>
      <t xml:space="preserve">1/30 </t>
    </r>
    <r>
      <rPr>
        <sz val="10"/>
        <color rgb="FF000000"/>
        <rFont val="WenQuanYi Zen Hei"/>
        <family val="2"/>
      </rPr>
      <t xml:space="preserve">仙台住宿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</si>
  <si>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月底</t>
    </r>
  </si>
  <si>
    <t xml:space="preserve">藏王溫泉旅館冬季容易客滿，建議先訂</t>
  </si>
  <si>
    <t xml:space="preserve">聯絡銀山溫泉旅館，確認接送與冬季入場方式</t>
  </si>
  <si>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WenQuanYi Zen Hei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</si>
  <si>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2026–27 </t>
    </r>
    <r>
      <rPr>
        <sz val="10"/>
        <color rgb="FF000000"/>
        <rFont val="WenQuanYi Zen Hei"/>
        <family val="2"/>
      </rPr>
      <t xml:space="preserve">冬季管制細則預計年底公布</t>
    </r>
  </si>
  <si>
    <t xml:space="preserve">準備日圓現金、防滑鞋／冰爪、相機備用電池</t>
  </si>
  <si>
    <r>
      <rPr>
        <sz val="10"/>
        <color rgb="FF000000"/>
        <rFont val="WenQuanYi Zen Hei"/>
        <family val="2"/>
      </rPr>
      <t xml:space="preserve">出發前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週</t>
    </r>
  </si>
  <si>
    <t xml:space="preserve">大石田巴士只收現金</t>
  </si>
  <si>
    <t xml:space="preserve">資料</t>
  </si>
  <si>
    <t xml:space="preserve">網址</t>
  </si>
  <si>
    <r>
      <rPr>
        <sz val="10"/>
        <color rgb="FF000000"/>
        <rFont val="WenQuanYi Zen Hei"/>
        <family val="2"/>
      </rPr>
      <t xml:space="preserve">星宇 台北–仙台 </t>
    </r>
    <r>
      <rPr>
        <sz val="10"/>
        <color rgb="FF000000"/>
        <rFont val="Arial"/>
        <family val="0"/>
        <charset val="1"/>
      </rPr>
      <t xml:space="preserve">2027/1 </t>
    </r>
    <r>
      <rPr>
        <sz val="10"/>
        <color rgb="FF000000"/>
        <rFont val="WenQuanYi Zen Hei"/>
        <family val="2"/>
      </rPr>
      <t xml:space="preserve">票價</t>
    </r>
  </si>
  <si>
    <t xml:space="preserve">https://www.starlux-airlines.com/flights/en/flights-from-taipei-to-sendai</t>
  </si>
  <si>
    <r>
      <rPr>
        <sz val="10"/>
        <color rgb="FF000000"/>
        <rFont val="WenQuanYi Zen Hei"/>
        <family val="2"/>
      </rPr>
      <t xml:space="preserve">長榮 台北–仙台 </t>
    </r>
    <r>
      <rPr>
        <sz val="10"/>
        <color rgb="FF000000"/>
        <rFont val="Arial"/>
        <family val="0"/>
        <charset val="1"/>
      </rPr>
      <t xml:space="preserve">2027/1 </t>
    </r>
    <r>
      <rPr>
        <sz val="10"/>
        <color rgb="FF000000"/>
        <rFont val="WenQuanYi Zen Hei"/>
        <family val="2"/>
      </rPr>
      <t xml:space="preserve">票價</t>
    </r>
  </si>
  <si>
    <t xml:space="preserve">https://flights.evaair.com/en/flights-from-taipei-to-sendai</t>
  </si>
  <si>
    <r>
      <rPr>
        <sz val="10"/>
        <color rgb="FF000000"/>
        <rFont val="Arial"/>
        <family val="0"/>
        <charset val="1"/>
      </rPr>
      <t xml:space="preserve">Google Flights </t>
    </r>
    <r>
      <rPr>
        <sz val="10"/>
        <color rgb="FF000000"/>
        <rFont val="WenQuanYi Zen Hei"/>
        <family val="2"/>
      </rPr>
      <t xml:space="preserve">台北–仙台</t>
    </r>
  </si>
  <si>
    <t xml:space="preserve">https://www.google.com/travel/flights/flights-from-taipei-city-to-sendai.html</t>
  </si>
  <si>
    <r>
      <rPr>
        <sz val="10"/>
        <color rgb="FF000000"/>
        <rFont val="Arial"/>
        <family val="0"/>
        <charset val="1"/>
      </rPr>
      <t xml:space="preserve">HotelsCombined </t>
    </r>
    <r>
      <rPr>
        <sz val="10"/>
        <color rgb="FF000000"/>
        <rFont val="WenQuanYi Zen Hei"/>
        <family val="2"/>
      </rPr>
      <t xml:space="preserve">桃園–仙台</t>
    </r>
  </si>
  <si>
    <t xml:space="preserve">https://www.hotelscombined.com.tw/flight-routes/Taipei-City-Taiwan-Taoyuan-Intl-TPE/Sendai-SDJ.ksp</t>
  </si>
  <si>
    <r>
      <rPr>
        <sz val="10"/>
        <color rgb="FF000000"/>
        <rFont val="Arial"/>
        <family val="0"/>
        <charset val="1"/>
      </rPr>
      <t xml:space="preserve">Skyscanner </t>
    </r>
    <r>
      <rPr>
        <sz val="10"/>
        <color rgb="FF000000"/>
        <rFont val="WenQuanYi Zen Hei"/>
        <family val="2"/>
      </rPr>
      <t xml:space="preserve">長榮飛仙台</t>
    </r>
  </si>
  <si>
    <t xml:space="preserve">https://www.skyscanner.com.tw/flights/airline-flights-to-airport/sdj/eva-air-br/cheap-flights-with-eva-air-br-flights-to-sendai</t>
  </si>
  <si>
    <r>
      <rPr>
        <sz val="10"/>
        <color rgb="FF000000"/>
        <rFont val="Arial"/>
        <family val="0"/>
        <charset val="1"/>
      </rPr>
      <t xml:space="preserve">Trip.com </t>
    </r>
    <r>
      <rPr>
        <sz val="10"/>
        <color rgb="FF000000"/>
        <rFont val="WenQuanYi Zen Hei"/>
        <family val="2"/>
      </rPr>
      <t xml:space="preserve">松山–羽田</t>
    </r>
  </si>
  <si>
    <t xml:space="preserve">https://www.trip.com/flights/airport-tsa-hnd/</t>
  </si>
  <si>
    <r>
      <rPr>
        <sz val="10"/>
        <color rgb="FF000000"/>
        <rFont val="Arial"/>
        <family val="0"/>
        <charset val="1"/>
      </rPr>
      <t xml:space="preserve">Expedia </t>
    </r>
    <r>
      <rPr>
        <sz val="10"/>
        <color rgb="FF000000"/>
        <rFont val="WenQuanYi Zen Hei"/>
        <family val="2"/>
      </rPr>
      <t xml:space="preserve">松山–羽田</t>
    </r>
  </si>
  <si>
    <t xml:space="preserve">https://www.expedia.com.tw/en/lp/flights/tsa/hnd/taipei-to-tokyo</t>
  </si>
  <si>
    <t xml:space="preserve">羽田–松山 時刻表</t>
  </si>
  <si>
    <t xml:space="preserve">https://www.haneda-tokyo.com/schedule/hnd-tsa-schedule.html</t>
  </si>
  <si>
    <r>
      <rPr>
        <sz val="10"/>
        <color rgb="FF000000"/>
        <rFont val="Arial"/>
        <family val="0"/>
        <charset val="1"/>
      </rPr>
      <t xml:space="preserve">HotelsCombined </t>
    </r>
    <r>
      <rPr>
        <sz val="10"/>
        <color rgb="FF000000"/>
        <rFont val="WenQuanYi Zen Hei"/>
        <family val="2"/>
      </rPr>
      <t xml:space="preserve">桃園–羽田</t>
    </r>
  </si>
  <si>
    <t xml:space="preserve">https://www.hotelscombined.com.tw/flight-routes/Taipei-City-Taiwan-Taoyuan-Intl-TPE/Tokyo-Haneda-HND.ksp</t>
  </si>
  <si>
    <r>
      <rPr>
        <sz val="10"/>
        <color rgb="FF000000"/>
        <rFont val="Arial"/>
        <family val="0"/>
        <charset val="1"/>
      </rPr>
      <t xml:space="preserve">Kayak </t>
    </r>
    <r>
      <rPr>
        <sz val="10"/>
        <color rgb="FF000000"/>
        <rFont val="WenQuanYi Zen Hei"/>
        <family val="2"/>
      </rPr>
      <t xml:space="preserve">台北–成田</t>
    </r>
  </si>
  <si>
    <t xml:space="preserve">https://www.tw.kayak.com/%E8%88%AA%E7%8F%AD/%E5%8F%B0%E5%8C%97-TW1/%E6%9D%B1%E4%BA%AC-%E6%88%90%E7%94%B0%E5%9C%8B%E9%9A%9B%E6%A9%9F%E5%A0%B4-NRT</t>
  </si>
  <si>
    <t xml:space="preserve">虎航 行李費用</t>
  </si>
  <si>
    <t xml:space="preserve">https://www.tigerairtw.com/zh-tw/ready-to-go/fees</t>
  </si>
  <si>
    <t xml:space="preserve">駅探 東京–大石田 新幹線票價</t>
  </si>
  <si>
    <t xml:space="preserve">https://ekitan.com/transit/shinkansen/section/sf-2590/st-737</t>
  </si>
  <si>
    <t xml:space="preserve">仙台機場交通費用</t>
  </si>
  <si>
    <t xml:space="preserve">https://tohoku.letsgojp.com/archives/739243/</t>
  </si>
  <si>
    <t xml:space="preserve">山交巴士 山形–藏王線</t>
  </si>
  <si>
    <t xml:space="preserve">https://travel.yamakobus.jp/zh-tw/timetable/routebus-yamagata-zaoline.html</t>
  </si>
  <si>
    <t xml:space="preserve">藏王纜車與樹冰套票</t>
  </si>
  <si>
    <t xml:space="preserve">https://twoslowbyron.com/zao_ropeway/</t>
  </si>
  <si>
    <r>
      <rPr>
        <sz val="10"/>
        <color rgb="FF000000"/>
        <rFont val="WenQuanYi Zen Hei"/>
        <family val="2"/>
      </rPr>
      <t xml:space="preserve">銀山溫泉交通（仙台–大石田 </t>
    </r>
    <r>
      <rPr>
        <sz val="10"/>
        <color rgb="FF000000"/>
        <rFont val="Arial"/>
        <family val="0"/>
        <charset val="1"/>
      </rPr>
      <t xml:space="preserve">¥1,690</t>
    </r>
    <r>
      <rPr>
        <sz val="10"/>
        <color rgb="FF000000"/>
        <rFont val="WenQuanYi Zen Hei"/>
        <family val="2"/>
      </rPr>
      <t xml:space="preserve">、巴士 </t>
    </r>
    <r>
      <rPr>
        <sz val="10"/>
        <color rgb="FF000000"/>
        <rFont val="Arial"/>
        <family val="0"/>
        <charset val="1"/>
      </rPr>
      <t xml:space="preserve">¥1,000</t>
    </r>
    <r>
      <rPr>
        <sz val="10"/>
        <color rgb="FF000000"/>
        <rFont val="WenQuanYi Zen Hei"/>
        <family val="2"/>
      </rPr>
      <t xml:space="preserve">）</t>
    </r>
  </si>
  <si>
    <t xml:space="preserve">https://mimigo.tw/ginzan-onsen/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</si>
</sst>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"/>
    <numFmt numFmtId="167" formatCode="\¥#,##0;&quot;(¥&quot;#,##0\);\-"/>
    <numFmt numFmtId="168" formatCode="#,##0;\(#,##0\)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WenQuanYi Zen Hei"/>
      <family val="2"/>
    </font>
    <font>
      <b val="true"/>
      <sz val="14"/>
      <color rgb="FF000000"/>
      <name val="Arial"/>
      <family val="0"/>
      <charset val="1"/>
    </font>
    <font>
      <sz val="10"/>
      <color rgb="FF5F7285"/>
      <name val="WenQuanYi Zen Hei"/>
      <family val="2"/>
    </font>
    <font>
      <sz val="10"/>
      <color rgb="FF5F7285"/>
      <name val="Arial"/>
      <family val="0"/>
      <charset val="1"/>
    </font>
    <font>
      <b val="true"/>
      <sz val="10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color rgb="FF008000"/>
      <name val="WenQuanYi Zen Hei"/>
      <family val="2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3"/>
      <color rgb="FF000000"/>
      <name val="WenQuanYi Zen Hei"/>
      <family val="2"/>
    </font>
    <font>
      <b val="true"/>
      <sz val="12"/>
      <color rgb="FF000000"/>
      <name val="WenQuanYi Zen Hei"/>
      <family val="2"/>
    </font>
    <font>
      <b val="true"/>
      <sz val="12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</font>
    <font>
      <u val="single"/>
      <sz val="10"/>
      <color rgb="FF1E6FC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E6FC8"/>
        <bgColor rgb="FF3366FF"/>
      </patternFill>
    </fill>
    <fill>
      <patternFill patternType="solid">
        <fgColor rgb="FFE3F3E7"/>
        <bgColor rgb="FFE1EEFB"/>
      </patternFill>
    </fill>
    <fill>
      <patternFill patternType="solid">
        <fgColor rgb="FFFDEAE3"/>
        <bgColor rgb="FFE3F3E7"/>
      </patternFill>
    </fill>
    <fill>
      <patternFill patternType="solid">
        <fgColor rgb="FFE1EEFB"/>
        <bgColor rgb="FFE3F3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3DD"/>
      </left>
      <right style="thin">
        <color rgb="FFC8D3DD"/>
      </right>
      <top style="thin">
        <color rgb="FFC8D3DD"/>
      </top>
      <bottom style="thin">
        <color rgb="FFC8D3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E3"/>
      <rgbColor rgb="FFE1EEFB"/>
      <rgbColor rgb="FF660066"/>
      <rgbColor rgb="FFFF8080"/>
      <rgbColor rgb="FF1E6FC8"/>
      <rgbColor rgb="FFC8D3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3E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728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s://www.starlux-airlines.com/flights/en/flights-from-taipei-to-sendai" TargetMode="External"/><Relationship Id="rId2" Type="http://schemas.openxmlformats.org/officeDocument/2006/relationships/hyperlink" Target="https://flights.evaair.com/en/flights-from-taipei-to-sendai" TargetMode="External"/><Relationship Id="rId3" Type="http://schemas.openxmlformats.org/officeDocument/2006/relationships/hyperlink" Target="https://www.google.com/travel/flights/flights-from-taipei-city-to-sendai.html" TargetMode="External"/><Relationship Id="rId4" Type="http://schemas.openxmlformats.org/officeDocument/2006/relationships/hyperlink" Target="https://www.hotelscombined.com.tw/flight-routes/Taipei-City-Taiwan-Taoyuan-Intl-TPE/Sendai-SDJ.ksp" TargetMode="External"/><Relationship Id="rId5" Type="http://schemas.openxmlformats.org/officeDocument/2006/relationships/hyperlink" Target="https://www.skyscanner.com.tw/flights/airline-flights-to-airport/sdj/eva-air-br/cheap-flights-with-eva-air-br-flights-to-sendai" TargetMode="External"/><Relationship Id="rId6" Type="http://schemas.openxmlformats.org/officeDocument/2006/relationships/hyperlink" Target="https://www.trip.com/flights/airport-tsa-hnd/" TargetMode="External"/><Relationship Id="rId7" Type="http://schemas.openxmlformats.org/officeDocument/2006/relationships/hyperlink" Target="https://www.expedia.com.tw/en/lp/flights/tsa/hnd/taipei-to-tokyo" TargetMode="External"/><Relationship Id="rId8" Type="http://schemas.openxmlformats.org/officeDocument/2006/relationships/hyperlink" Target="https://www.haneda-tokyo.com/schedule/hnd-tsa-schedule.html" TargetMode="External"/><Relationship Id="rId9" Type="http://schemas.openxmlformats.org/officeDocument/2006/relationships/hyperlink" Target="https://www.hotelscombined.com.tw/flight-routes/Taipei-City-Taiwan-Taoyuan-Intl-TPE/Tokyo-Haneda-HND.ksp" TargetMode="External"/><Relationship Id="rId10" Type="http://schemas.openxmlformats.org/officeDocument/2006/relationships/hyperlink" Target="https://www.tw.kayak.com/&#33322;&#29677;/&#21488;&#21271;-TW1/&#26481;&#20140;-&#25104;&#30000;&#22283;&#38555;&#27231;&#22580;-NRT" TargetMode="External"/><Relationship Id="rId11" Type="http://schemas.openxmlformats.org/officeDocument/2006/relationships/hyperlink" Target="https://www.tigerairtw.com/zh-tw/ready-to-go/fees" TargetMode="External"/><Relationship Id="rId12" Type="http://schemas.openxmlformats.org/officeDocument/2006/relationships/hyperlink" Target="https://ekitan.com/transit/shinkansen/section/sf-2590/st-737" TargetMode="External"/><Relationship Id="rId13" Type="http://schemas.openxmlformats.org/officeDocument/2006/relationships/hyperlink" Target="https://tohoku.letsgojp.com/archives/739243/" TargetMode="External"/><Relationship Id="rId14" Type="http://schemas.openxmlformats.org/officeDocument/2006/relationships/hyperlink" Target="https://travel.yamakobus.jp/zh-tw/timetable/routebus-yamagata-zaoline.html" TargetMode="External"/><Relationship Id="rId15" Type="http://schemas.openxmlformats.org/officeDocument/2006/relationships/hyperlink" Target="https://twoslowbyron.com/zao_ropeway/" TargetMode="External"/><Relationship Id="rId16" Type="http://schemas.openxmlformats.org/officeDocument/2006/relationships/hyperlink" Target="https://mimigo.tw/ginzan-onse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0.21</v>
      </c>
      <c r="C5" s="2" t="s">
        <v>4</v>
      </c>
    </row>
    <row r="6" customFormat="false" ht="15" hidden="false" customHeight="false" outlineLevel="0" collapsed="false">
      <c r="A6" s="4" t="s">
        <v>5</v>
      </c>
      <c r="B6" s="6" t="n">
        <v>1</v>
      </c>
      <c r="C6" s="2" t="s">
        <v>6</v>
      </c>
    </row>
    <row r="7" customFormat="false" ht="15" hidden="false" customHeight="false" outlineLevel="0" collapsed="false">
      <c r="A7" s="4" t="s">
        <v>7</v>
      </c>
      <c r="B7" s="7" t="n">
        <v>0</v>
      </c>
      <c r="C7" s="2" t="s">
        <v>8</v>
      </c>
    </row>
    <row r="9" customFormat="false" ht="15" hidden="false" customHeight="false" outlineLevel="0" collapsed="false">
      <c r="A9" s="3" t="s">
        <v>9</v>
      </c>
    </row>
    <row r="10" customFormat="false" ht="15" hidden="false" customHeight="false" outlineLevel="0" collapsed="false">
      <c r="A10" s="8" t="s">
        <v>10</v>
      </c>
      <c r="B10" s="8" t="s">
        <v>11</v>
      </c>
      <c r="C10" s="8" t="s">
        <v>12</v>
      </c>
      <c r="D10" s="8" t="s">
        <v>13</v>
      </c>
      <c r="E10" s="8" t="s">
        <v>14</v>
      </c>
      <c r="F10" s="8" t="s">
        <v>15</v>
      </c>
      <c r="G10" s="8" t="s">
        <v>16</v>
      </c>
      <c r="H10" s="8" t="s">
        <v>17</v>
      </c>
    </row>
    <row r="11" customFormat="false" ht="15" hidden="false" customHeight="false" outlineLevel="0" collapsed="false">
      <c r="A11" s="9" t="str">
        <f aca="false">方案比較!A5&amp;" "&amp;方案比較!B5</f>
        <v>★ 早去晚回：長榮去＋虎航回（定案）</v>
      </c>
      <c r="B11" s="9" t="str">
        <f aca="false">方案比較!C5</f>
        <v>1/26 二–1/31 日</v>
      </c>
      <c r="C11" s="10" t="n">
        <f aca="false">方案比較!D5</f>
        <v>4</v>
      </c>
      <c r="D11" s="11" t="n">
        <f aca="false">方案比較!G5+方案比較!H5</f>
        <v>15538</v>
      </c>
      <c r="E11" s="11" t="n">
        <f aca="false">方案比較!J5+3050*$B$5</f>
        <v>640.5</v>
      </c>
      <c r="F11" s="11" t="n">
        <f aca="false">D11+E11</f>
        <v>16178.5</v>
      </c>
      <c r="G11" s="11" t="n">
        <f aca="false">F11*$B$6</f>
        <v>16178.5</v>
      </c>
      <c r="H11" s="12" t="s">
        <v>18</v>
      </c>
    </row>
    <row r="12" customFormat="false" ht="15" hidden="false" customHeight="false" outlineLevel="0" collapsed="false">
      <c r="A12" s="13" t="str">
        <f aca="false">方案比較!A6&amp;" "&amp;方案比較!B6</f>
        <v>A 虎航來回（最便宜）</v>
      </c>
      <c r="B12" s="13" t="str">
        <f aca="false">方案比較!C6</f>
        <v>1/26 二–1/31 日</v>
      </c>
      <c r="C12" s="14" t="n">
        <f aca="false">方案比較!D6</f>
        <v>4</v>
      </c>
      <c r="D12" s="15" t="n">
        <f aca="false">方案比較!G6+方案比較!H6</f>
        <v>11576</v>
      </c>
      <c r="E12" s="15" t="n">
        <f aca="false">方案比較!J6+3050*$B$5</f>
        <v>640.5</v>
      </c>
      <c r="F12" s="15" t="n">
        <f aca="false">D12+E12</f>
        <v>12216.5</v>
      </c>
      <c r="G12" s="15" t="n">
        <f aca="false">F12*$B$6</f>
        <v>12216.5</v>
      </c>
      <c r="H12" s="16" t="s">
        <v>19</v>
      </c>
    </row>
    <row r="13" customFormat="false" ht="15" hidden="false" customHeight="false" outlineLevel="0" collapsed="false">
      <c r="A13" s="13" t="str">
        <f aca="false">方案比較!A7&amp;" "&amp;方案比較!B7</f>
        <v>B 長榮去＋虎航回</v>
      </c>
      <c r="B13" s="13" t="str">
        <f aca="false">方案比較!C7</f>
        <v>1/27 三–1/31 日</v>
      </c>
      <c r="C13" s="14" t="n">
        <f aca="false">方案比較!D7</f>
        <v>3</v>
      </c>
      <c r="D13" s="15" t="n">
        <f aca="false">方案比較!G7+方案比較!H7</f>
        <v>15538</v>
      </c>
      <c r="E13" s="15" t="n">
        <f aca="false">方案比較!J7+3050*$B$5</f>
        <v>640.5</v>
      </c>
      <c r="F13" s="15" t="n">
        <f aca="false">D13+E13</f>
        <v>16178.5</v>
      </c>
      <c r="G13" s="15" t="n">
        <f aca="false">F13*$B$6</f>
        <v>16178.5</v>
      </c>
      <c r="H13" s="16" t="s">
        <v>20</v>
      </c>
    </row>
    <row r="14" customFormat="false" ht="15" hidden="false" customHeight="false" outlineLevel="0" collapsed="false">
      <c r="A14" s="13" t="str">
        <f aca="false">方案比較!A8&amp;" "&amp;方案比較!B8</f>
        <v>C 星宇來回</v>
      </c>
      <c r="B14" s="13" t="str">
        <f aca="false">方案比較!C8</f>
        <v>1/27 三–1/31 日</v>
      </c>
      <c r="C14" s="14" t="n">
        <f aca="false">方案比較!D8</f>
        <v>3</v>
      </c>
      <c r="D14" s="15" t="n">
        <f aca="false">方案比較!G8+方案比較!H8</f>
        <v>19586</v>
      </c>
      <c r="E14" s="15" t="n">
        <f aca="false">方案比較!J8+3050*$B$5</f>
        <v>640.5</v>
      </c>
      <c r="F14" s="15" t="n">
        <f aca="false">D14+E14</f>
        <v>20226.5</v>
      </c>
      <c r="G14" s="15" t="n">
        <f aca="false">F14*$B$6</f>
        <v>20226.5</v>
      </c>
      <c r="H14" s="16" t="s">
        <v>20</v>
      </c>
    </row>
    <row r="15" customFormat="false" ht="15" hidden="false" customHeight="false" outlineLevel="0" collapsed="false">
      <c r="A15" s="13" t="str">
        <f aca="false">方案比較!A9&amp;" "&amp;方案比較!B9</f>
        <v>D 松山⇄羽田來回（長榮）</v>
      </c>
      <c r="B15" s="13" t="str">
        <f aca="false">方案比較!C9</f>
        <v>1/26 二–1/31 日</v>
      </c>
      <c r="C15" s="14" t="n">
        <f aca="false">方案比較!D9</f>
        <v>4</v>
      </c>
      <c r="D15" s="15" t="n">
        <f aca="false">方案比較!G9+方案比較!H9</f>
        <v>16526</v>
      </c>
      <c r="E15" s="15" t="n">
        <f aca="false">方案比較!J9+3050*$B$5</f>
        <v>5493.6</v>
      </c>
      <c r="F15" s="15" t="n">
        <f aca="false">D15+E15</f>
        <v>22019.6</v>
      </c>
      <c r="G15" s="15" t="n">
        <f aca="false">F15*$B$6</f>
        <v>22019.6</v>
      </c>
      <c r="H15" s="16"/>
    </row>
    <row r="16" customFormat="false" ht="15" hidden="false" customHeight="false" outlineLevel="0" collapsed="false">
      <c r="A16" s="13" t="str">
        <f aca="false">方案比較!A10&amp;" "&amp;方案比較!B10</f>
        <v>E 開口：虎航去仙台＋羽田回松山</v>
      </c>
      <c r="B16" s="13" t="str">
        <f aca="false">方案比較!C10</f>
        <v>1/26 二–1/31 日</v>
      </c>
      <c r="C16" s="14" t="n">
        <f aca="false">方案比較!D10</f>
        <v>4</v>
      </c>
      <c r="D16" s="15" t="n">
        <f aca="false">方案比較!G10+方案比較!H10</f>
        <v>16054</v>
      </c>
      <c r="E16" s="15" t="n">
        <f aca="false">方案比較!J10+3050*$B$5</f>
        <v>2889.6</v>
      </c>
      <c r="F16" s="15" t="n">
        <f aca="false">D16+E16</f>
        <v>18943.6</v>
      </c>
      <c r="G16" s="15" t="n">
        <f aca="false">F16*$B$6</f>
        <v>18943.6</v>
      </c>
      <c r="H16" s="16"/>
    </row>
    <row r="17" customFormat="false" ht="15" hidden="false" customHeight="false" outlineLevel="0" collapsed="false">
      <c r="A17" s="13" t="str">
        <f aca="false">方案比較!A11&amp;" "&amp;方案比較!B11</f>
        <v>F 樂桃 桃園⇄羽田＋新幹線</v>
      </c>
      <c r="B17" s="13" t="str">
        <f aca="false">方案比較!C11</f>
        <v>1/26 二–1/31 日</v>
      </c>
      <c r="C17" s="14" t="n">
        <f aca="false">方案比較!D11</f>
        <v>4</v>
      </c>
      <c r="D17" s="15" t="n">
        <f aca="false">方案比較!G11+方案比較!H11</f>
        <v>12772</v>
      </c>
      <c r="E17" s="15" t="n">
        <f aca="false">方案比較!J11+3050*$B$5</f>
        <v>5493.6</v>
      </c>
      <c r="F17" s="15" t="n">
        <f aca="false">D17+E17</f>
        <v>18265.6</v>
      </c>
      <c r="G17" s="15" t="n">
        <f aca="false">F17*$B$6</f>
        <v>18265.6</v>
      </c>
      <c r="H17" s="16"/>
    </row>
    <row r="18" customFormat="false" ht="15" hidden="false" customHeight="false" outlineLevel="0" collapsed="false">
      <c r="A18" s="2" t="s">
        <v>21</v>
      </c>
    </row>
    <row r="20" customFormat="false" ht="15" hidden="false" customHeight="false" outlineLevel="0" collapsed="false">
      <c r="A20" s="3" t="s">
        <v>22</v>
      </c>
    </row>
    <row r="21" customFormat="false" ht="15" hidden="false" customHeight="false" outlineLevel="0" collapsed="false">
      <c r="A21" s="4" t="s">
        <v>13</v>
      </c>
      <c r="B21" s="17" t="n">
        <f aca="false">D11</f>
        <v>15538</v>
      </c>
    </row>
    <row r="22" customFormat="false" ht="15" hidden="false" customHeight="false" outlineLevel="0" collapsed="false">
      <c r="A22" s="4" t="s">
        <v>23</v>
      </c>
      <c r="B22" s="17" t="n">
        <f aca="false">行程預算!I14</f>
        <v>19763.1</v>
      </c>
      <c r="C22" s="2" t="s">
        <v>24</v>
      </c>
    </row>
    <row r="23" customFormat="false" ht="15" hidden="false" customHeight="false" outlineLevel="0" collapsed="false">
      <c r="A23" s="3" t="s">
        <v>25</v>
      </c>
      <c r="B23" s="18" t="n">
        <f aca="false">B21+B22</f>
        <v>35301.1</v>
      </c>
    </row>
    <row r="24" customFormat="false" ht="15" hidden="false" customHeight="false" outlineLevel="0" collapsed="false">
      <c r="A24" s="3" t="s">
        <v>16</v>
      </c>
      <c r="B24" s="18" t="n">
        <f aca="false">B23*B6</f>
        <v>35301.1</v>
      </c>
    </row>
    <row r="26" customFormat="false" ht="15" hidden="false" customHeight="false" outlineLevel="0" collapsed="false">
      <c r="A26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52"/>
  </cols>
  <sheetData>
    <row r="1" customFormat="false" ht="17.15" hidden="false" customHeight="false" outlineLevel="0" collapsed="false">
      <c r="A1" s="19" t="s">
        <v>27</v>
      </c>
    </row>
    <row r="2" customFormat="false" ht="15" hidden="false" customHeight="false" outlineLevel="0" collapsed="false">
      <c r="A2" s="2" t="s">
        <v>28</v>
      </c>
    </row>
    <row r="4" customFormat="false" ht="15" hidden="false" customHeight="false" outlineLevel="0" collapsed="false">
      <c r="A4" s="8" t="s">
        <v>11</v>
      </c>
      <c r="B4" s="8" t="s">
        <v>29</v>
      </c>
      <c r="C4" s="8" t="s">
        <v>30</v>
      </c>
      <c r="D4" s="8" t="s">
        <v>31</v>
      </c>
      <c r="E4" s="8" t="s">
        <v>32</v>
      </c>
      <c r="F4" s="8" t="s">
        <v>33</v>
      </c>
      <c r="G4" s="8" t="s">
        <v>34</v>
      </c>
    </row>
    <row r="5" customFormat="false" ht="15" hidden="false" customHeight="false" outlineLevel="0" collapsed="false">
      <c r="A5" s="20" t="s">
        <v>35</v>
      </c>
      <c r="B5" s="16" t="s">
        <v>36</v>
      </c>
      <c r="C5" s="16" t="s">
        <v>37</v>
      </c>
      <c r="D5" s="20" t="s">
        <v>38</v>
      </c>
      <c r="E5" s="21" t="n">
        <v>25165</v>
      </c>
      <c r="F5" s="16" t="s">
        <v>39</v>
      </c>
      <c r="G5" s="16" t="s">
        <v>40</v>
      </c>
    </row>
    <row r="6" customFormat="false" ht="15" hidden="false" customHeight="false" outlineLevel="0" collapsed="false">
      <c r="A6" s="20" t="s">
        <v>35</v>
      </c>
      <c r="B6" s="16" t="s">
        <v>36</v>
      </c>
      <c r="C6" s="16" t="s">
        <v>41</v>
      </c>
      <c r="D6" s="20" t="s">
        <v>42</v>
      </c>
      <c r="E6" s="21" t="n">
        <v>22778</v>
      </c>
      <c r="F6" s="16" t="s">
        <v>39</v>
      </c>
      <c r="G6" s="16" t="s">
        <v>43</v>
      </c>
    </row>
    <row r="7" customFormat="false" ht="15" hidden="false" customHeight="false" outlineLevel="0" collapsed="false">
      <c r="A7" s="20" t="s">
        <v>35</v>
      </c>
      <c r="B7" s="16" t="s">
        <v>36</v>
      </c>
      <c r="C7" s="16" t="s">
        <v>44</v>
      </c>
      <c r="D7" s="20" t="s">
        <v>45</v>
      </c>
      <c r="E7" s="21" t="n">
        <v>15599</v>
      </c>
      <c r="F7" s="16" t="s">
        <v>39</v>
      </c>
      <c r="G7" s="16" t="s">
        <v>46</v>
      </c>
    </row>
    <row r="8" customFormat="false" ht="15" hidden="false" customHeight="false" outlineLevel="0" collapsed="false">
      <c r="A8" s="20" t="s">
        <v>47</v>
      </c>
      <c r="B8" s="16" t="s">
        <v>36</v>
      </c>
      <c r="C8" s="16" t="s">
        <v>41</v>
      </c>
      <c r="D8" s="20" t="s">
        <v>42</v>
      </c>
      <c r="E8" s="21" t="n">
        <v>15727</v>
      </c>
      <c r="F8" s="16" t="s">
        <v>39</v>
      </c>
      <c r="G8" s="16" t="s">
        <v>48</v>
      </c>
    </row>
    <row r="9" customFormat="false" ht="15" hidden="false" customHeight="false" outlineLevel="0" collapsed="false">
      <c r="A9" s="20" t="s">
        <v>47</v>
      </c>
      <c r="B9" s="16" t="s">
        <v>36</v>
      </c>
      <c r="C9" s="16" t="s">
        <v>37</v>
      </c>
      <c r="D9" s="20" t="s">
        <v>38</v>
      </c>
      <c r="E9" s="21" t="n">
        <v>17775</v>
      </c>
      <c r="F9" s="16" t="s">
        <v>39</v>
      </c>
      <c r="G9" s="16" t="s">
        <v>43</v>
      </c>
    </row>
    <row r="10" customFormat="false" ht="15" hidden="false" customHeight="false" outlineLevel="0" collapsed="false">
      <c r="A10" s="20" t="s">
        <v>49</v>
      </c>
      <c r="B10" s="16" t="s">
        <v>36</v>
      </c>
      <c r="C10" s="16" t="s">
        <v>44</v>
      </c>
      <c r="D10" s="20" t="s">
        <v>45</v>
      </c>
      <c r="E10" s="21" t="n">
        <v>14099</v>
      </c>
      <c r="F10" s="16" t="s">
        <v>39</v>
      </c>
      <c r="G10" s="16" t="s">
        <v>43</v>
      </c>
    </row>
    <row r="11" customFormat="false" ht="15" hidden="false" customHeight="false" outlineLevel="0" collapsed="false">
      <c r="A11" s="20" t="s">
        <v>49</v>
      </c>
      <c r="B11" s="16" t="s">
        <v>36</v>
      </c>
      <c r="C11" s="16" t="s">
        <v>41</v>
      </c>
      <c r="D11" s="20" t="s">
        <v>42</v>
      </c>
      <c r="E11" s="21" t="n">
        <v>22778</v>
      </c>
      <c r="F11" s="16" t="s">
        <v>39</v>
      </c>
      <c r="G11" s="16" t="s">
        <v>43</v>
      </c>
    </row>
    <row r="12" customFormat="false" ht="15" hidden="false" customHeight="false" outlineLevel="0" collapsed="false">
      <c r="A12" s="20" t="s">
        <v>35</v>
      </c>
      <c r="B12" s="16" t="s">
        <v>50</v>
      </c>
      <c r="C12" s="16" t="s">
        <v>51</v>
      </c>
      <c r="D12" s="20" t="s">
        <v>52</v>
      </c>
      <c r="E12" s="21" t="n">
        <v>14137</v>
      </c>
      <c r="F12" s="16" t="s">
        <v>39</v>
      </c>
      <c r="G12" s="16" t="s">
        <v>53</v>
      </c>
    </row>
    <row r="13" customFormat="false" ht="15" hidden="false" customHeight="false" outlineLevel="0" collapsed="false">
      <c r="A13" s="20" t="s">
        <v>35</v>
      </c>
      <c r="B13" s="16" t="s">
        <v>50</v>
      </c>
      <c r="C13" s="16" t="s">
        <v>37</v>
      </c>
      <c r="D13" s="20" t="s">
        <v>54</v>
      </c>
      <c r="E13" s="21" t="n">
        <v>17309</v>
      </c>
      <c r="F13" s="16" t="s">
        <v>39</v>
      </c>
      <c r="G13" s="16" t="s">
        <v>55</v>
      </c>
    </row>
    <row r="14" customFormat="false" ht="15" hidden="false" customHeight="false" outlineLevel="0" collapsed="false">
      <c r="A14" s="20" t="s">
        <v>35</v>
      </c>
      <c r="B14" s="16" t="s">
        <v>50</v>
      </c>
      <c r="C14" s="16" t="s">
        <v>56</v>
      </c>
      <c r="D14" s="20" t="s">
        <v>57</v>
      </c>
      <c r="E14" s="21" t="n">
        <v>17246</v>
      </c>
      <c r="F14" s="16" t="s">
        <v>39</v>
      </c>
      <c r="G14" s="16" t="s">
        <v>43</v>
      </c>
    </row>
    <row r="15" customFormat="false" ht="15" hidden="false" customHeight="false" outlineLevel="0" collapsed="false">
      <c r="A15" s="22" t="s">
        <v>58</v>
      </c>
      <c r="B15" s="23" t="s">
        <v>59</v>
      </c>
      <c r="C15" s="23" t="s">
        <v>37</v>
      </c>
      <c r="D15" s="22" t="s">
        <v>60</v>
      </c>
      <c r="E15" s="24" t="n">
        <v>33008</v>
      </c>
      <c r="F15" s="23" t="s">
        <v>61</v>
      </c>
      <c r="G15" s="23" t="s">
        <v>62</v>
      </c>
    </row>
    <row r="16" customFormat="false" ht="15" hidden="false" customHeight="false" outlineLevel="0" collapsed="false">
      <c r="A16" s="22" t="s">
        <v>58</v>
      </c>
      <c r="B16" s="23" t="s">
        <v>59</v>
      </c>
      <c r="C16" s="23" t="s">
        <v>41</v>
      </c>
      <c r="D16" s="22" t="s">
        <v>63</v>
      </c>
      <c r="E16" s="24" t="n">
        <v>34279</v>
      </c>
      <c r="F16" s="23" t="s">
        <v>61</v>
      </c>
      <c r="G16" s="23" t="s">
        <v>62</v>
      </c>
    </row>
    <row r="17" customFormat="false" ht="15" hidden="false" customHeight="false" outlineLevel="0" collapsed="false">
      <c r="A17" s="22" t="s">
        <v>58</v>
      </c>
      <c r="B17" s="23" t="s">
        <v>59</v>
      </c>
      <c r="C17" s="23" t="s">
        <v>44</v>
      </c>
      <c r="D17" s="22" t="s">
        <v>64</v>
      </c>
      <c r="E17" s="24"/>
      <c r="F17" s="22" t="s">
        <v>64</v>
      </c>
      <c r="G17" s="23" t="s">
        <v>65</v>
      </c>
    </row>
    <row r="18" customFormat="false" ht="15" hidden="false" customHeight="false" outlineLevel="0" collapsed="false">
      <c r="A18" s="22" t="s">
        <v>66</v>
      </c>
      <c r="B18" s="23" t="s">
        <v>59</v>
      </c>
      <c r="C18" s="23" t="s">
        <v>67</v>
      </c>
      <c r="D18" s="22" t="s">
        <v>64</v>
      </c>
      <c r="E18" s="24"/>
      <c r="F18" s="22" t="s">
        <v>64</v>
      </c>
      <c r="G18" s="23" t="s">
        <v>68</v>
      </c>
    </row>
    <row r="19" customFormat="false" ht="15" hidden="false" customHeight="false" outlineLevel="0" collapsed="false">
      <c r="A19" s="22" t="s">
        <v>69</v>
      </c>
      <c r="B19" s="23" t="s">
        <v>59</v>
      </c>
      <c r="C19" s="23" t="s">
        <v>41</v>
      </c>
      <c r="D19" s="22" t="s">
        <v>63</v>
      </c>
      <c r="E19" s="24" t="n">
        <v>34247</v>
      </c>
      <c r="F19" s="23" t="s">
        <v>61</v>
      </c>
      <c r="G19" s="23" t="s">
        <v>70</v>
      </c>
    </row>
    <row r="20" customFormat="false" ht="15" hidden="false" customHeight="false" outlineLevel="0" collapsed="false">
      <c r="A20" s="20" t="s">
        <v>71</v>
      </c>
      <c r="B20" s="16" t="s">
        <v>59</v>
      </c>
      <c r="C20" s="16" t="s">
        <v>44</v>
      </c>
      <c r="D20" s="20" t="s">
        <v>72</v>
      </c>
      <c r="E20" s="21" t="n">
        <v>16439</v>
      </c>
      <c r="F20" s="16" t="s">
        <v>39</v>
      </c>
      <c r="G20" s="16" t="s">
        <v>46</v>
      </c>
    </row>
    <row r="21" customFormat="false" ht="15" hidden="false" customHeight="false" outlineLevel="0" collapsed="false">
      <c r="A21" s="20" t="s">
        <v>71</v>
      </c>
      <c r="B21" s="16" t="s">
        <v>59</v>
      </c>
      <c r="C21" s="16" t="s">
        <v>37</v>
      </c>
      <c r="D21" s="20" t="s">
        <v>60</v>
      </c>
      <c r="E21" s="21" t="n">
        <v>20518</v>
      </c>
      <c r="F21" s="16" t="s">
        <v>39</v>
      </c>
      <c r="G21" s="16" t="s">
        <v>73</v>
      </c>
    </row>
    <row r="22" customFormat="false" ht="15" hidden="false" customHeight="false" outlineLevel="0" collapsed="false">
      <c r="A22" s="22" t="s">
        <v>74</v>
      </c>
      <c r="B22" s="23" t="s">
        <v>59</v>
      </c>
      <c r="C22" s="23" t="s">
        <v>67</v>
      </c>
      <c r="D22" s="22" t="s">
        <v>64</v>
      </c>
      <c r="E22" s="24"/>
      <c r="F22" s="22" t="s">
        <v>64</v>
      </c>
      <c r="G22" s="23" t="s">
        <v>75</v>
      </c>
    </row>
    <row r="23" customFormat="false" ht="15" hidden="false" customHeight="false" outlineLevel="0" collapsed="false">
      <c r="A23" s="20" t="s">
        <v>47</v>
      </c>
      <c r="B23" s="16" t="s">
        <v>50</v>
      </c>
      <c r="C23" s="16" t="s">
        <v>37</v>
      </c>
      <c r="D23" s="20" t="s">
        <v>54</v>
      </c>
      <c r="E23" s="21" t="n">
        <v>17309</v>
      </c>
      <c r="F23" s="16" t="s">
        <v>39</v>
      </c>
      <c r="G23" s="16" t="s">
        <v>43</v>
      </c>
    </row>
    <row r="24" customFormat="false" ht="15" hidden="false" customHeight="false" outlineLevel="0" collapsed="false">
      <c r="A24" s="20" t="s">
        <v>47</v>
      </c>
      <c r="B24" s="16" t="s">
        <v>50</v>
      </c>
      <c r="C24" s="16" t="s">
        <v>56</v>
      </c>
      <c r="D24" s="20" t="s">
        <v>57</v>
      </c>
      <c r="E24" s="21" t="n">
        <v>17246</v>
      </c>
      <c r="F24" s="16" t="s">
        <v>39</v>
      </c>
      <c r="G24" s="16" t="s">
        <v>43</v>
      </c>
    </row>
    <row r="25" customFormat="false" ht="15" hidden="false" customHeight="false" outlineLevel="0" collapsed="false">
      <c r="A25" s="20" t="s">
        <v>69</v>
      </c>
      <c r="B25" s="16" t="s">
        <v>76</v>
      </c>
      <c r="C25" s="16" t="s">
        <v>77</v>
      </c>
      <c r="D25" s="20" t="s">
        <v>78</v>
      </c>
      <c r="E25" s="21" t="n">
        <v>10294</v>
      </c>
      <c r="F25" s="16" t="s">
        <v>39</v>
      </c>
      <c r="G25" s="16" t="s">
        <v>79</v>
      </c>
    </row>
    <row r="26" customFormat="false" ht="15" hidden="false" customHeight="false" outlineLevel="0" collapsed="false">
      <c r="A26" s="20" t="s">
        <v>69</v>
      </c>
      <c r="B26" s="16" t="s">
        <v>76</v>
      </c>
      <c r="C26" s="16" t="s">
        <v>80</v>
      </c>
      <c r="D26" s="20" t="s">
        <v>81</v>
      </c>
      <c r="E26" s="21" t="n">
        <v>10752</v>
      </c>
      <c r="F26" s="16" t="s">
        <v>39</v>
      </c>
      <c r="G26" s="16" t="s">
        <v>43</v>
      </c>
    </row>
    <row r="27" customFormat="false" ht="15" hidden="false" customHeight="false" outlineLevel="0" collapsed="false">
      <c r="A27" s="20" t="s">
        <v>69</v>
      </c>
      <c r="B27" s="16" t="s">
        <v>76</v>
      </c>
      <c r="C27" s="16" t="s">
        <v>44</v>
      </c>
      <c r="D27" s="20" t="s">
        <v>82</v>
      </c>
      <c r="E27" s="21" t="n">
        <v>13137</v>
      </c>
      <c r="F27" s="16" t="s">
        <v>39</v>
      </c>
      <c r="G27" s="16" t="s">
        <v>43</v>
      </c>
    </row>
    <row r="28" customFormat="false" ht="15" hidden="false" customHeight="false" outlineLevel="0" collapsed="false">
      <c r="A28" s="20" t="s">
        <v>69</v>
      </c>
      <c r="B28" s="16" t="s">
        <v>76</v>
      </c>
      <c r="C28" s="16" t="s">
        <v>41</v>
      </c>
      <c r="D28" s="20" t="s">
        <v>83</v>
      </c>
      <c r="E28" s="21" t="n">
        <v>16591</v>
      </c>
      <c r="F28" s="16" t="s">
        <v>39</v>
      </c>
      <c r="G28" s="16" t="s">
        <v>73</v>
      </c>
    </row>
    <row r="29" customFormat="false" ht="15" hidden="false" customHeight="false" outlineLevel="0" collapsed="false">
      <c r="A29" s="20" t="s">
        <v>69</v>
      </c>
      <c r="B29" s="16" t="s">
        <v>76</v>
      </c>
      <c r="C29" s="16" t="s">
        <v>41</v>
      </c>
      <c r="D29" s="20" t="s">
        <v>84</v>
      </c>
      <c r="E29" s="21" t="n">
        <v>16591</v>
      </c>
      <c r="F29" s="16" t="s">
        <v>39</v>
      </c>
      <c r="G29" s="16" t="s">
        <v>73</v>
      </c>
    </row>
    <row r="30" customFormat="false" ht="15" hidden="false" customHeight="false" outlineLevel="0" collapsed="false">
      <c r="A30" s="20" t="s">
        <v>69</v>
      </c>
      <c r="B30" s="16" t="s">
        <v>85</v>
      </c>
      <c r="C30" s="16" t="s">
        <v>37</v>
      </c>
      <c r="D30" s="20" t="s">
        <v>86</v>
      </c>
      <c r="E30" s="21" t="n">
        <v>14855</v>
      </c>
      <c r="F30" s="16" t="s">
        <v>39</v>
      </c>
      <c r="G30" s="16" t="s">
        <v>87</v>
      </c>
    </row>
    <row r="31" customFormat="false" ht="15" hidden="false" customHeight="false" outlineLevel="0" collapsed="false">
      <c r="A31" s="20" t="s">
        <v>71</v>
      </c>
      <c r="B31" s="16" t="s">
        <v>76</v>
      </c>
      <c r="C31" s="16" t="s">
        <v>77</v>
      </c>
      <c r="D31" s="20" t="s">
        <v>88</v>
      </c>
      <c r="E31" s="21" t="n">
        <v>16343</v>
      </c>
      <c r="F31" s="16" t="s">
        <v>39</v>
      </c>
      <c r="G31" s="16" t="s">
        <v>43</v>
      </c>
    </row>
    <row r="32" customFormat="false" ht="15" hidden="false" customHeight="false" outlineLevel="0" collapsed="false">
      <c r="A32" s="20" t="s">
        <v>71</v>
      </c>
      <c r="B32" s="16" t="s">
        <v>76</v>
      </c>
      <c r="C32" s="16" t="s">
        <v>80</v>
      </c>
      <c r="D32" s="20" t="s">
        <v>89</v>
      </c>
      <c r="E32" s="21" t="n">
        <v>10752</v>
      </c>
      <c r="F32" s="16" t="s">
        <v>39</v>
      </c>
      <c r="G32" s="16" t="s">
        <v>43</v>
      </c>
    </row>
    <row r="33" customFormat="false" ht="15" hidden="false" customHeight="false" outlineLevel="0" collapsed="false">
      <c r="A33" s="20" t="s">
        <v>66</v>
      </c>
      <c r="B33" s="16" t="s">
        <v>76</v>
      </c>
      <c r="C33" s="16" t="s">
        <v>80</v>
      </c>
      <c r="D33" s="20" t="s">
        <v>81</v>
      </c>
      <c r="E33" s="21" t="n">
        <v>10752</v>
      </c>
      <c r="F33" s="16" t="s">
        <v>39</v>
      </c>
      <c r="G33" s="16" t="s">
        <v>43</v>
      </c>
    </row>
    <row r="34" customFormat="false" ht="15" hidden="false" customHeight="false" outlineLevel="0" collapsed="false">
      <c r="A34" s="20" t="s">
        <v>58</v>
      </c>
      <c r="B34" s="16" t="s">
        <v>76</v>
      </c>
      <c r="C34" s="16" t="s">
        <v>77</v>
      </c>
      <c r="D34" s="20" t="s">
        <v>88</v>
      </c>
      <c r="E34" s="21" t="n">
        <v>14542</v>
      </c>
      <c r="F34" s="16" t="s">
        <v>39</v>
      </c>
      <c r="G34" s="16" t="s">
        <v>90</v>
      </c>
    </row>
    <row r="35" customFormat="false" ht="15" hidden="false" customHeight="false" outlineLevel="0" collapsed="false">
      <c r="A35" s="20" t="s">
        <v>58</v>
      </c>
      <c r="B35" s="16" t="s">
        <v>76</v>
      </c>
      <c r="C35" s="16" t="s">
        <v>80</v>
      </c>
      <c r="D35" s="20" t="s">
        <v>81</v>
      </c>
      <c r="E35" s="21" t="n">
        <v>13212</v>
      </c>
      <c r="F35" s="16" t="s">
        <v>39</v>
      </c>
      <c r="G35" s="16" t="s">
        <v>43</v>
      </c>
    </row>
    <row r="36" customFormat="false" ht="15" hidden="false" customHeight="false" outlineLevel="0" collapsed="false">
      <c r="A36" s="20" t="s">
        <v>58</v>
      </c>
      <c r="B36" s="16" t="s">
        <v>76</v>
      </c>
      <c r="C36" s="16" t="s">
        <v>44</v>
      </c>
      <c r="D36" s="20" t="s">
        <v>91</v>
      </c>
      <c r="E36" s="21" t="n">
        <v>13149</v>
      </c>
      <c r="F36" s="16" t="s">
        <v>39</v>
      </c>
      <c r="G36" s="16" t="s">
        <v>92</v>
      </c>
    </row>
    <row r="37" customFormat="false" ht="15" hidden="false" customHeight="false" outlineLevel="0" collapsed="false">
      <c r="A37" s="20" t="s">
        <v>58</v>
      </c>
      <c r="B37" s="16" t="s">
        <v>76</v>
      </c>
      <c r="C37" s="16" t="s">
        <v>93</v>
      </c>
      <c r="D37" s="20" t="s">
        <v>94</v>
      </c>
      <c r="E37" s="21" t="n">
        <v>18549</v>
      </c>
      <c r="F37" s="16" t="s">
        <v>39</v>
      </c>
      <c r="G37" s="16" t="s">
        <v>43</v>
      </c>
    </row>
    <row r="38" customFormat="false" ht="15" hidden="false" customHeight="false" outlineLevel="0" collapsed="false">
      <c r="A38" s="20" t="s">
        <v>58</v>
      </c>
      <c r="B38" s="16" t="s">
        <v>76</v>
      </c>
      <c r="C38" s="16" t="s">
        <v>41</v>
      </c>
      <c r="D38" s="20" t="s">
        <v>95</v>
      </c>
      <c r="E38" s="21" t="n">
        <v>21166</v>
      </c>
      <c r="F38" s="16" t="s">
        <v>39</v>
      </c>
      <c r="G38" s="16" t="s">
        <v>96</v>
      </c>
    </row>
    <row r="39" customFormat="false" ht="15" hidden="false" customHeight="false" outlineLevel="0" collapsed="false">
      <c r="A39" s="20" t="s">
        <v>58</v>
      </c>
      <c r="B39" s="16" t="s">
        <v>76</v>
      </c>
      <c r="C39" s="16" t="s">
        <v>37</v>
      </c>
      <c r="D39" s="20" t="s">
        <v>97</v>
      </c>
      <c r="E39" s="21" t="n">
        <v>27583</v>
      </c>
      <c r="F39" s="16" t="s">
        <v>39</v>
      </c>
      <c r="G39" s="16" t="s">
        <v>43</v>
      </c>
    </row>
    <row r="40" customFormat="false" ht="15" hidden="false" customHeight="false" outlineLevel="0" collapsed="false">
      <c r="A40" s="20" t="s">
        <v>58</v>
      </c>
      <c r="B40" s="16" t="s">
        <v>85</v>
      </c>
      <c r="C40" s="16" t="s">
        <v>56</v>
      </c>
      <c r="D40" s="20" t="s">
        <v>98</v>
      </c>
      <c r="E40" s="21" t="n">
        <v>15742</v>
      </c>
      <c r="F40" s="16" t="s">
        <v>39</v>
      </c>
      <c r="G40" s="16" t="s">
        <v>99</v>
      </c>
    </row>
    <row r="41" customFormat="false" ht="15" hidden="false" customHeight="false" outlineLevel="0" collapsed="false">
      <c r="A41" s="20" t="s">
        <v>58</v>
      </c>
      <c r="B41" s="16" t="s">
        <v>85</v>
      </c>
      <c r="C41" s="16" t="s">
        <v>51</v>
      </c>
      <c r="D41" s="20" t="s">
        <v>100</v>
      </c>
      <c r="E41" s="21" t="n">
        <v>37120</v>
      </c>
      <c r="F41" s="16" t="s">
        <v>39</v>
      </c>
      <c r="G41" s="16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44"/>
  </cols>
  <sheetData>
    <row r="1" customFormat="false" ht="17.15" hidden="false" customHeight="false" outlineLevel="0" collapsed="false">
      <c r="A1" s="25" t="s">
        <v>102</v>
      </c>
    </row>
    <row r="2" customFormat="false" ht="15" hidden="false" customHeight="false" outlineLevel="0" collapsed="false">
      <c r="A2" s="2" t="s">
        <v>103</v>
      </c>
    </row>
    <row r="4" customFormat="false" ht="15" hidden="false" customHeight="false" outlineLevel="0" collapsed="false">
      <c r="A4" s="8" t="s">
        <v>10</v>
      </c>
      <c r="B4" s="8" t="s">
        <v>104</v>
      </c>
      <c r="C4" s="8" t="s">
        <v>105</v>
      </c>
      <c r="D4" s="8" t="s">
        <v>106</v>
      </c>
      <c r="E4" s="8" t="s">
        <v>107</v>
      </c>
      <c r="F4" s="8" t="s">
        <v>108</v>
      </c>
      <c r="G4" s="8" t="s">
        <v>109</v>
      </c>
      <c r="H4" s="8" t="s">
        <v>110</v>
      </c>
      <c r="I4" s="8" t="s">
        <v>111</v>
      </c>
      <c r="J4" s="8" t="s">
        <v>112</v>
      </c>
    </row>
    <row r="5" customFormat="false" ht="26.85" hidden="false" customHeight="false" outlineLevel="0" collapsed="false">
      <c r="A5" s="26" t="s">
        <v>113</v>
      </c>
      <c r="B5" s="12" t="n">
        <v>4</v>
      </c>
      <c r="C5" s="27" t="s">
        <v>114</v>
      </c>
      <c r="D5" s="28" t="n">
        <v>9725</v>
      </c>
      <c r="E5" s="27" t="s">
        <v>115</v>
      </c>
      <c r="F5" s="28" t="n">
        <v>10309</v>
      </c>
      <c r="G5" s="28" t="n">
        <v>2000</v>
      </c>
      <c r="H5" s="29" t="n">
        <f aca="false">2600+11670+12780+2600</f>
        <v>29650</v>
      </c>
      <c r="I5" s="30" t="n">
        <f aca="false">D5+F5+G5+H5*總覽!$B$5</f>
        <v>28260.5</v>
      </c>
      <c r="J5" s="12" t="s">
        <v>116</v>
      </c>
    </row>
    <row r="6" customFormat="false" ht="26.85" hidden="false" customHeight="false" outlineLevel="0" collapsed="false">
      <c r="A6" s="16" t="s">
        <v>117</v>
      </c>
      <c r="B6" s="16" t="n">
        <v>4</v>
      </c>
      <c r="C6" s="20" t="s">
        <v>118</v>
      </c>
      <c r="D6" s="21" t="n">
        <v>19040</v>
      </c>
      <c r="E6" s="20" t="s">
        <v>119</v>
      </c>
      <c r="F6" s="21" t="n">
        <v>16616</v>
      </c>
      <c r="G6" s="21" t="n">
        <v>0</v>
      </c>
      <c r="H6" s="31" t="n">
        <f aca="false">2600+11670+12780+2600</f>
        <v>29650</v>
      </c>
      <c r="I6" s="32" t="n">
        <f aca="false">D6+F6+G6+H6*總覽!$B$5</f>
        <v>41882.5</v>
      </c>
      <c r="J6" s="16" t="s">
        <v>120</v>
      </c>
    </row>
    <row r="7" customFormat="false" ht="15" hidden="false" customHeight="false" outlineLevel="0" collapsed="false">
      <c r="A7" s="16" t="s">
        <v>121</v>
      </c>
      <c r="B7" s="16" t="n">
        <v>4</v>
      </c>
      <c r="C7" s="20" t="s">
        <v>122</v>
      </c>
      <c r="D7" s="21" t="n">
        <v>15727</v>
      </c>
      <c r="E7" s="20" t="s">
        <v>115</v>
      </c>
      <c r="F7" s="21" t="n">
        <v>10309</v>
      </c>
      <c r="G7" s="21" t="n">
        <v>1000</v>
      </c>
      <c r="H7" s="31" t="n">
        <f aca="false">680+1690+12780+2600</f>
        <v>17750</v>
      </c>
      <c r="I7" s="32" t="n">
        <f aca="false">D7+F7+G7+H7*總覽!$B$5</f>
        <v>30763.5</v>
      </c>
      <c r="J7" s="16" t="s">
        <v>123</v>
      </c>
    </row>
    <row r="8" customFormat="false" ht="15" hidden="false" customHeight="false" outlineLevel="0" collapsed="false">
      <c r="A8" s="16" t="s">
        <v>124</v>
      </c>
      <c r="B8" s="16" t="n">
        <v>4</v>
      </c>
      <c r="C8" s="20" t="s">
        <v>125</v>
      </c>
      <c r="D8" s="21" t="n">
        <v>17315</v>
      </c>
      <c r="E8" s="20" t="s">
        <v>126</v>
      </c>
      <c r="F8" s="21" t="n">
        <v>14855</v>
      </c>
      <c r="G8" s="21" t="n">
        <v>0</v>
      </c>
      <c r="H8" s="31" t="n">
        <f aca="false">600+11670+12780+600</f>
        <v>25650</v>
      </c>
      <c r="I8" s="32" t="n">
        <f aca="false">D8+F8+G8+H8*總覽!$B$5</f>
        <v>37556.5</v>
      </c>
      <c r="J8" s="16" t="s">
        <v>127</v>
      </c>
    </row>
    <row r="9" customFormat="false" ht="26.85" hidden="false" customHeight="false" outlineLevel="0" collapsed="false">
      <c r="A9" s="16" t="s">
        <v>128</v>
      </c>
      <c r="B9" s="16" t="n">
        <v>4</v>
      </c>
      <c r="C9" s="20" t="s">
        <v>129</v>
      </c>
      <c r="D9" s="21" t="n">
        <v>13099</v>
      </c>
      <c r="E9" s="20" t="s">
        <v>130</v>
      </c>
      <c r="F9" s="21" t="n">
        <v>10891</v>
      </c>
      <c r="G9" s="21" t="n">
        <v>2000</v>
      </c>
      <c r="H9" s="31" t="n">
        <f aca="false">6000+6000</f>
        <v>12000</v>
      </c>
      <c r="I9" s="32" t="n">
        <f aca="false">D9+F9+G9+H9*總覽!$B$5</f>
        <v>28510</v>
      </c>
      <c r="J9" s="16" t="s">
        <v>131</v>
      </c>
    </row>
    <row r="11" customFormat="false" ht="15" hidden="false" customHeight="false" outlineLevel="0" collapsed="false">
      <c r="A11" s="2" t="s">
        <v>132</v>
      </c>
    </row>
    <row r="12" customFormat="false" ht="15" hidden="false" customHeight="false" outlineLevel="0" collapsed="false">
      <c r="A12" s="2" t="s">
        <v>133</v>
      </c>
    </row>
    <row r="14" customFormat="false" ht="16.4" hidden="false" customHeight="false" outlineLevel="0" collapsed="false">
      <c r="A14" s="33" t="s">
        <v>134</v>
      </c>
    </row>
    <row r="15" customFormat="false" ht="15" hidden="false" customHeight="false" outlineLevel="0" collapsed="false">
      <c r="A15" s="8" t="s">
        <v>11</v>
      </c>
      <c r="B15" s="8" t="s">
        <v>135</v>
      </c>
      <c r="C15" s="8" t="s">
        <v>136</v>
      </c>
      <c r="D15" s="8" t="s">
        <v>137</v>
      </c>
      <c r="E15" s="8" t="s">
        <v>138</v>
      </c>
    </row>
    <row r="16" customFormat="false" ht="39.55" hidden="false" customHeight="false" outlineLevel="0" collapsed="false">
      <c r="A16" s="34" t="s">
        <v>139</v>
      </c>
      <c r="B16" s="35" t="s">
        <v>140</v>
      </c>
      <c r="C16" s="36" t="s">
        <v>141</v>
      </c>
      <c r="D16" s="36" t="s">
        <v>142</v>
      </c>
      <c r="E16" s="36" t="s">
        <v>143</v>
      </c>
    </row>
    <row r="17" customFormat="false" ht="38.05" hidden="false" customHeight="false" outlineLevel="0" collapsed="false">
      <c r="A17" s="16"/>
      <c r="B17" s="20" t="s">
        <v>144</v>
      </c>
      <c r="C17" s="16" t="s">
        <v>145</v>
      </c>
      <c r="D17" s="16" t="s">
        <v>146</v>
      </c>
      <c r="E17" s="16"/>
    </row>
    <row r="18" customFormat="false" ht="39.55" hidden="false" customHeight="false" outlineLevel="0" collapsed="false">
      <c r="A18" s="16"/>
      <c r="B18" s="20" t="s">
        <v>147</v>
      </c>
      <c r="C18" s="16" t="s">
        <v>148</v>
      </c>
      <c r="D18" s="16" t="s">
        <v>149</v>
      </c>
      <c r="E18" s="16"/>
    </row>
    <row r="19" customFormat="false" ht="26.85" hidden="false" customHeight="false" outlineLevel="0" collapsed="false">
      <c r="A19" s="16"/>
      <c r="B19" s="20" t="s">
        <v>150</v>
      </c>
      <c r="C19" s="16" t="s">
        <v>151</v>
      </c>
      <c r="D19" s="16" t="s">
        <v>152</v>
      </c>
      <c r="E19" s="16" t="s">
        <v>153</v>
      </c>
    </row>
    <row r="20" customFormat="false" ht="25.35" hidden="false" customHeight="false" outlineLevel="0" collapsed="false">
      <c r="A20" s="34" t="s">
        <v>154</v>
      </c>
      <c r="B20" s="35" t="s">
        <v>155</v>
      </c>
      <c r="C20" s="36" t="s">
        <v>156</v>
      </c>
      <c r="D20" s="36" t="s">
        <v>157</v>
      </c>
      <c r="E20" s="36" t="s">
        <v>158</v>
      </c>
    </row>
    <row r="21" customFormat="false" ht="26.85" hidden="false" customHeight="false" outlineLevel="0" collapsed="false">
      <c r="A21" s="16"/>
      <c r="B21" s="20" t="s">
        <v>147</v>
      </c>
      <c r="C21" s="16" t="s">
        <v>159</v>
      </c>
      <c r="D21" s="16" t="s">
        <v>160</v>
      </c>
      <c r="E21" s="16" t="s">
        <v>161</v>
      </c>
    </row>
    <row r="22" customFormat="false" ht="15" hidden="false" customHeight="false" outlineLevel="0" collapsed="false">
      <c r="A22" s="16"/>
      <c r="B22" s="20" t="s">
        <v>162</v>
      </c>
      <c r="C22" s="16" t="s">
        <v>163</v>
      </c>
      <c r="D22" s="16"/>
      <c r="E22" s="16" t="s">
        <v>164</v>
      </c>
    </row>
    <row r="23" customFormat="false" ht="26.85" hidden="false" customHeight="false" outlineLevel="0" collapsed="false">
      <c r="A23" s="34" t="s">
        <v>165</v>
      </c>
      <c r="B23" s="35" t="s">
        <v>166</v>
      </c>
      <c r="C23" s="36" t="s">
        <v>167</v>
      </c>
      <c r="D23" s="35" t="s">
        <v>168</v>
      </c>
      <c r="E23" s="36"/>
    </row>
    <row r="24" customFormat="false" ht="39.55" hidden="false" customHeight="false" outlineLevel="0" collapsed="false">
      <c r="A24" s="12"/>
      <c r="B24" s="27" t="s">
        <v>169</v>
      </c>
      <c r="C24" s="12" t="s">
        <v>170</v>
      </c>
      <c r="D24" s="12" t="s">
        <v>171</v>
      </c>
      <c r="E24" s="12" t="s">
        <v>172</v>
      </c>
    </row>
    <row r="25" customFormat="false" ht="15" hidden="false" customHeight="false" outlineLevel="0" collapsed="false">
      <c r="A25" s="34" t="s">
        <v>173</v>
      </c>
      <c r="B25" s="35" t="s">
        <v>174</v>
      </c>
      <c r="C25" s="36" t="s">
        <v>175</v>
      </c>
      <c r="D25" s="36"/>
      <c r="E25" s="36" t="s">
        <v>176</v>
      </c>
    </row>
    <row r="26" customFormat="false" ht="38.05" hidden="false" customHeight="false" outlineLevel="0" collapsed="false">
      <c r="A26" s="16"/>
      <c r="B26" s="20" t="s">
        <v>166</v>
      </c>
      <c r="C26" s="16" t="s">
        <v>177</v>
      </c>
      <c r="D26" s="16" t="s">
        <v>178</v>
      </c>
      <c r="E26" s="16" t="s">
        <v>179</v>
      </c>
    </row>
    <row r="27" customFormat="false" ht="15" hidden="false" customHeight="false" outlineLevel="0" collapsed="false">
      <c r="A27" s="16"/>
      <c r="B27" s="20" t="s">
        <v>180</v>
      </c>
      <c r="C27" s="16" t="s">
        <v>181</v>
      </c>
      <c r="D27" s="16"/>
      <c r="E27" s="16" t="s">
        <v>182</v>
      </c>
    </row>
    <row r="28" customFormat="false" ht="15" hidden="false" customHeight="false" outlineLevel="0" collapsed="false">
      <c r="A28" s="34" t="s">
        <v>183</v>
      </c>
      <c r="B28" s="36" t="s">
        <v>184</v>
      </c>
      <c r="C28" s="36" t="s">
        <v>185</v>
      </c>
      <c r="D28" s="36"/>
      <c r="E28" s="36" t="s">
        <v>186</v>
      </c>
    </row>
    <row r="29" customFormat="false" ht="15" hidden="false" customHeight="false" outlineLevel="0" collapsed="false">
      <c r="A29" s="34" t="s">
        <v>187</v>
      </c>
      <c r="B29" s="36" t="s">
        <v>188</v>
      </c>
      <c r="C29" s="36" t="s">
        <v>189</v>
      </c>
      <c r="D29" s="36"/>
      <c r="E29" s="36"/>
    </row>
    <row r="30" customFormat="false" ht="38.05" hidden="false" customHeight="false" outlineLevel="0" collapsed="false">
      <c r="A30" s="16"/>
      <c r="B30" s="20" t="s">
        <v>180</v>
      </c>
      <c r="C30" s="16" t="s">
        <v>190</v>
      </c>
      <c r="D30" s="20" t="s">
        <v>191</v>
      </c>
      <c r="E30" s="16" t="s">
        <v>192</v>
      </c>
    </row>
    <row r="31" customFormat="false" ht="15" hidden="false" customHeight="false" outlineLevel="0" collapsed="false">
      <c r="A31" s="16"/>
      <c r="B31" s="20" t="s">
        <v>193</v>
      </c>
      <c r="C31" s="16" t="s">
        <v>194</v>
      </c>
      <c r="D31" s="16"/>
      <c r="E31" s="16" t="s">
        <v>195</v>
      </c>
    </row>
    <row r="33" customFormat="false" ht="15" hidden="false" customHeight="false" outlineLevel="0" collapsed="false">
      <c r="A33" s="2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40"/>
    <col collapsed="false" customWidth="true" hidden="false" outlineLevel="0" max="8" min="8" style="0" width="11"/>
    <col collapsed="false" customWidth="true" hidden="false" outlineLevel="0" max="9" min="9" style="0" width="40"/>
  </cols>
  <sheetData>
    <row r="1" customFormat="false" ht="17.15" hidden="false" customHeight="false" outlineLevel="0" collapsed="false">
      <c r="A1" s="25" t="s">
        <v>197</v>
      </c>
    </row>
    <row r="2" customFormat="false" ht="15" hidden="false" customHeight="false" outlineLevel="0" collapsed="false">
      <c r="A2" s="2" t="s">
        <v>198</v>
      </c>
    </row>
    <row r="4" customFormat="false" ht="15" hidden="false" customHeight="false" outlineLevel="0" collapsed="false">
      <c r="A4" s="8" t="s">
        <v>11</v>
      </c>
      <c r="B4" s="8" t="s">
        <v>199</v>
      </c>
      <c r="C4" s="8" t="s">
        <v>30</v>
      </c>
      <c r="D4" s="8" t="s">
        <v>31</v>
      </c>
      <c r="E4" s="8" t="s">
        <v>32</v>
      </c>
      <c r="F4" s="8" t="s">
        <v>33</v>
      </c>
      <c r="G4" s="8" t="s">
        <v>200</v>
      </c>
    </row>
    <row r="5" customFormat="false" ht="15" hidden="false" customHeight="false" outlineLevel="0" collapsed="false">
      <c r="A5" s="22" t="s">
        <v>201</v>
      </c>
      <c r="B5" s="23" t="s">
        <v>36</v>
      </c>
      <c r="C5" s="23" t="s">
        <v>37</v>
      </c>
      <c r="D5" s="22" t="s">
        <v>38</v>
      </c>
      <c r="E5" s="24" t="n">
        <v>44798</v>
      </c>
      <c r="F5" s="23" t="s">
        <v>61</v>
      </c>
      <c r="G5" s="23" t="s">
        <v>202</v>
      </c>
    </row>
    <row r="6" customFormat="false" ht="15" hidden="false" customHeight="false" outlineLevel="0" collapsed="false">
      <c r="A6" s="22" t="s">
        <v>203</v>
      </c>
      <c r="B6" s="23" t="s">
        <v>36</v>
      </c>
      <c r="C6" s="23" t="s">
        <v>41</v>
      </c>
      <c r="D6" s="22" t="s">
        <v>42</v>
      </c>
      <c r="E6" s="24" t="n">
        <v>44374</v>
      </c>
      <c r="F6" s="23" t="s">
        <v>61</v>
      </c>
      <c r="G6" s="23" t="s">
        <v>202</v>
      </c>
    </row>
    <row r="7" customFormat="false" ht="15" hidden="false" customHeight="false" outlineLevel="0" collapsed="false">
      <c r="A7" s="20" t="s">
        <v>204</v>
      </c>
      <c r="B7" s="16" t="s">
        <v>36</v>
      </c>
      <c r="C7" s="16" t="s">
        <v>44</v>
      </c>
      <c r="D7" s="20" t="s">
        <v>45</v>
      </c>
      <c r="E7" s="21" t="n">
        <v>15599</v>
      </c>
      <c r="F7" s="16" t="s">
        <v>39</v>
      </c>
      <c r="G7" s="16"/>
    </row>
    <row r="8" customFormat="false" ht="15" hidden="false" customHeight="false" outlineLevel="0" collapsed="false">
      <c r="A8" s="20" t="s">
        <v>204</v>
      </c>
      <c r="B8" s="16" t="s">
        <v>36</v>
      </c>
      <c r="C8" s="16" t="s">
        <v>37</v>
      </c>
      <c r="D8" s="20" t="s">
        <v>38</v>
      </c>
      <c r="E8" s="21" t="n">
        <v>27591</v>
      </c>
      <c r="F8" s="16" t="s">
        <v>39</v>
      </c>
      <c r="G8" s="16"/>
    </row>
    <row r="9" customFormat="false" ht="15" hidden="false" customHeight="false" outlineLevel="0" collapsed="false">
      <c r="A9" s="22" t="s">
        <v>205</v>
      </c>
      <c r="B9" s="23" t="s">
        <v>36</v>
      </c>
      <c r="C9" s="22" t="s">
        <v>64</v>
      </c>
      <c r="D9" s="22" t="s">
        <v>64</v>
      </c>
      <c r="E9" s="24"/>
      <c r="F9" s="22" t="s">
        <v>64</v>
      </c>
      <c r="G9" s="23" t="s">
        <v>75</v>
      </c>
    </row>
    <row r="10" customFormat="false" ht="15" hidden="false" customHeight="false" outlineLevel="0" collapsed="false">
      <c r="A10" s="20" t="s">
        <v>35</v>
      </c>
      <c r="B10" s="16" t="s">
        <v>36</v>
      </c>
      <c r="C10" s="16" t="s">
        <v>44</v>
      </c>
      <c r="D10" s="20" t="s">
        <v>45</v>
      </c>
      <c r="E10" s="21" t="n">
        <v>15599</v>
      </c>
      <c r="F10" s="16" t="s">
        <v>39</v>
      </c>
      <c r="G10" s="16"/>
    </row>
    <row r="11" customFormat="false" ht="15" hidden="false" customHeight="false" outlineLevel="0" collapsed="false">
      <c r="A11" s="20" t="s">
        <v>35</v>
      </c>
      <c r="B11" s="16" t="s">
        <v>36</v>
      </c>
      <c r="C11" s="16" t="s">
        <v>41</v>
      </c>
      <c r="D11" s="20" t="s">
        <v>42</v>
      </c>
      <c r="E11" s="21" t="n">
        <v>22784</v>
      </c>
      <c r="F11" s="16" t="s">
        <v>39</v>
      </c>
      <c r="G11" s="16" t="s">
        <v>206</v>
      </c>
    </row>
    <row r="12" customFormat="false" ht="15" hidden="false" customHeight="false" outlineLevel="0" collapsed="false">
      <c r="A12" s="20" t="s">
        <v>35</v>
      </c>
      <c r="B12" s="16" t="s">
        <v>36</v>
      </c>
      <c r="C12" s="16" t="s">
        <v>37</v>
      </c>
      <c r="D12" s="20" t="s">
        <v>38</v>
      </c>
      <c r="E12" s="21" t="n">
        <v>25171</v>
      </c>
      <c r="F12" s="16" t="s">
        <v>39</v>
      </c>
      <c r="G12" s="16" t="s">
        <v>207</v>
      </c>
    </row>
    <row r="13" customFormat="false" ht="26.85" hidden="false" customHeight="false" outlineLevel="0" collapsed="false">
      <c r="A13" s="20" t="s">
        <v>47</v>
      </c>
      <c r="B13" s="16" t="s">
        <v>36</v>
      </c>
      <c r="C13" s="16" t="s">
        <v>41</v>
      </c>
      <c r="D13" s="20" t="s">
        <v>42</v>
      </c>
      <c r="E13" s="21" t="n">
        <v>15733</v>
      </c>
      <c r="F13" s="16" t="s">
        <v>39</v>
      </c>
      <c r="G13" s="16" t="s">
        <v>208</v>
      </c>
    </row>
    <row r="14" customFormat="false" ht="15" hidden="false" customHeight="false" outlineLevel="0" collapsed="false">
      <c r="A14" s="20" t="s">
        <v>47</v>
      </c>
      <c r="B14" s="16" t="s">
        <v>36</v>
      </c>
      <c r="C14" s="16" t="s">
        <v>37</v>
      </c>
      <c r="D14" s="20" t="s">
        <v>38</v>
      </c>
      <c r="E14" s="21" t="n">
        <v>17781</v>
      </c>
      <c r="F14" s="16" t="s">
        <v>39</v>
      </c>
      <c r="G14" s="16" t="s">
        <v>209</v>
      </c>
    </row>
    <row r="15" customFormat="false" ht="15" hidden="false" customHeight="false" outlineLevel="0" collapsed="false">
      <c r="A15" s="20" t="s">
        <v>49</v>
      </c>
      <c r="B15" s="16" t="s">
        <v>36</v>
      </c>
      <c r="C15" s="16" t="s">
        <v>44</v>
      </c>
      <c r="D15" s="20" t="s">
        <v>45</v>
      </c>
      <c r="E15" s="21" t="n">
        <v>14099</v>
      </c>
      <c r="F15" s="16" t="s">
        <v>39</v>
      </c>
      <c r="G15" s="16" t="s">
        <v>210</v>
      </c>
    </row>
    <row r="16" customFormat="false" ht="15" hidden="false" customHeight="false" outlineLevel="0" collapsed="false">
      <c r="A16" s="20" t="s">
        <v>49</v>
      </c>
      <c r="B16" s="16" t="s">
        <v>36</v>
      </c>
      <c r="C16" s="16" t="s">
        <v>41</v>
      </c>
      <c r="D16" s="20" t="s">
        <v>42</v>
      </c>
      <c r="E16" s="21" t="n">
        <v>22784</v>
      </c>
      <c r="F16" s="16" t="s">
        <v>39</v>
      </c>
      <c r="G16" s="16" t="s">
        <v>211</v>
      </c>
    </row>
    <row r="17" customFormat="false" ht="15" hidden="false" customHeight="false" outlineLevel="0" collapsed="false">
      <c r="A17" s="22" t="s">
        <v>49</v>
      </c>
      <c r="B17" s="23" t="s">
        <v>36</v>
      </c>
      <c r="C17" s="23" t="s">
        <v>37</v>
      </c>
      <c r="D17" s="22" t="s">
        <v>38</v>
      </c>
      <c r="E17" s="24" t="n">
        <v>44798</v>
      </c>
      <c r="F17" s="23" t="s">
        <v>61</v>
      </c>
      <c r="G17" s="23" t="s">
        <v>202</v>
      </c>
    </row>
    <row r="18" customFormat="false" ht="15" hidden="false" customHeight="false" outlineLevel="0" collapsed="false">
      <c r="A18" s="22" t="s">
        <v>66</v>
      </c>
      <c r="B18" s="23" t="s">
        <v>59</v>
      </c>
      <c r="C18" s="22" t="s">
        <v>64</v>
      </c>
      <c r="D18" s="22" t="s">
        <v>64</v>
      </c>
      <c r="E18" s="24"/>
      <c r="F18" s="22" t="s">
        <v>64</v>
      </c>
      <c r="G18" s="23" t="s">
        <v>75</v>
      </c>
    </row>
    <row r="19" customFormat="false" ht="15" hidden="false" customHeight="false" outlineLevel="0" collapsed="false">
      <c r="A19" s="22" t="s">
        <v>58</v>
      </c>
      <c r="B19" s="23" t="s">
        <v>59</v>
      </c>
      <c r="C19" s="23" t="s">
        <v>37</v>
      </c>
      <c r="D19" s="22" t="s">
        <v>60</v>
      </c>
      <c r="E19" s="24" t="n">
        <v>33029</v>
      </c>
      <c r="F19" s="23" t="s">
        <v>61</v>
      </c>
      <c r="G19" s="23" t="s">
        <v>202</v>
      </c>
    </row>
    <row r="20" customFormat="false" ht="15" hidden="false" customHeight="false" outlineLevel="0" collapsed="false">
      <c r="A20" s="22" t="s">
        <v>58</v>
      </c>
      <c r="B20" s="23" t="s">
        <v>59</v>
      </c>
      <c r="C20" s="23" t="s">
        <v>41</v>
      </c>
      <c r="D20" s="22" t="s">
        <v>63</v>
      </c>
      <c r="E20" s="24"/>
      <c r="F20" s="23" t="s">
        <v>212</v>
      </c>
      <c r="G20" s="23" t="s">
        <v>213</v>
      </c>
    </row>
    <row r="21" customFormat="false" ht="15" hidden="false" customHeight="false" outlineLevel="0" collapsed="false">
      <c r="A21" s="22" t="s">
        <v>69</v>
      </c>
      <c r="B21" s="23" t="s">
        <v>59</v>
      </c>
      <c r="C21" s="23" t="s">
        <v>41</v>
      </c>
      <c r="D21" s="22" t="s">
        <v>63</v>
      </c>
      <c r="E21" s="24" t="n">
        <v>34301</v>
      </c>
      <c r="F21" s="23" t="s">
        <v>61</v>
      </c>
      <c r="G21" s="23" t="s">
        <v>214</v>
      </c>
    </row>
    <row r="22" customFormat="false" ht="15" hidden="false" customHeight="false" outlineLevel="0" collapsed="false">
      <c r="A22" s="20" t="s">
        <v>71</v>
      </c>
      <c r="B22" s="16" t="s">
        <v>59</v>
      </c>
      <c r="C22" s="16" t="s">
        <v>44</v>
      </c>
      <c r="D22" s="20" t="s">
        <v>72</v>
      </c>
      <c r="E22" s="21" t="n">
        <v>16466</v>
      </c>
      <c r="F22" s="16" t="s">
        <v>39</v>
      </c>
      <c r="G22" s="16" t="s">
        <v>215</v>
      </c>
    </row>
    <row r="23" customFormat="false" ht="15" hidden="false" customHeight="false" outlineLevel="0" collapsed="false">
      <c r="A23" s="20" t="s">
        <v>71</v>
      </c>
      <c r="B23" s="16" t="s">
        <v>59</v>
      </c>
      <c r="C23" s="16" t="s">
        <v>37</v>
      </c>
      <c r="D23" s="20" t="s">
        <v>60</v>
      </c>
      <c r="E23" s="21" t="n">
        <v>20549</v>
      </c>
      <c r="F23" s="16" t="s">
        <v>39</v>
      </c>
      <c r="G23" s="16" t="s">
        <v>207</v>
      </c>
    </row>
    <row r="24" customFormat="false" ht="15" hidden="false" customHeight="false" outlineLevel="0" collapsed="false">
      <c r="A24" s="22" t="s">
        <v>74</v>
      </c>
      <c r="B24" s="23" t="s">
        <v>59</v>
      </c>
      <c r="C24" s="22" t="s">
        <v>64</v>
      </c>
      <c r="D24" s="22" t="s">
        <v>64</v>
      </c>
      <c r="E24" s="24"/>
      <c r="F24" s="22" t="s">
        <v>64</v>
      </c>
      <c r="G24" s="23" t="s">
        <v>75</v>
      </c>
    </row>
    <row r="26" customFormat="false" ht="15" hidden="false" customHeight="false" outlineLevel="0" collapsed="false">
      <c r="A26" s="33" t="s">
        <v>216</v>
      </c>
    </row>
    <row r="27" customFormat="false" ht="15" hidden="false" customHeight="false" outlineLevel="0" collapsed="false">
      <c r="A27" s="8" t="s">
        <v>217</v>
      </c>
      <c r="B27" s="8" t="s">
        <v>104</v>
      </c>
      <c r="C27" s="8" t="s">
        <v>105</v>
      </c>
      <c r="D27" s="8" t="s">
        <v>218</v>
      </c>
      <c r="E27" s="8" t="s">
        <v>107</v>
      </c>
      <c r="F27" s="8" t="s">
        <v>219</v>
      </c>
      <c r="G27" s="8" t="s">
        <v>220</v>
      </c>
      <c r="H27" s="8" t="s">
        <v>221</v>
      </c>
      <c r="I27" s="8" t="s">
        <v>222</v>
      </c>
    </row>
    <row r="28" customFormat="false" ht="26.85" hidden="false" customHeight="false" outlineLevel="0" collapsed="false">
      <c r="A28" s="16" t="s">
        <v>223</v>
      </c>
      <c r="B28" s="16" t="n">
        <v>4</v>
      </c>
      <c r="C28" s="20" t="s">
        <v>224</v>
      </c>
      <c r="D28" s="21" t="n">
        <v>14099</v>
      </c>
      <c r="E28" s="20" t="s">
        <v>225</v>
      </c>
      <c r="F28" s="21" t="n">
        <v>16466</v>
      </c>
      <c r="G28" s="21" t="n">
        <v>1900</v>
      </c>
      <c r="H28" s="32" t="n">
        <f aca="false">D28+F28+G28</f>
        <v>32465</v>
      </c>
      <c r="I28" s="16" t="s">
        <v>226</v>
      </c>
    </row>
    <row r="29" customFormat="false" ht="26.85" hidden="false" customHeight="false" outlineLevel="0" collapsed="false">
      <c r="A29" s="26" t="s">
        <v>227</v>
      </c>
      <c r="B29" s="12" t="n">
        <v>4</v>
      </c>
      <c r="C29" s="27" t="s">
        <v>224</v>
      </c>
      <c r="D29" s="28" t="n">
        <v>14099</v>
      </c>
      <c r="E29" s="27" t="s">
        <v>228</v>
      </c>
      <c r="F29" s="28" t="n">
        <v>20549</v>
      </c>
      <c r="G29" s="28" t="n">
        <v>950</v>
      </c>
      <c r="H29" s="30" t="n">
        <f aca="false">D29+F29+G29</f>
        <v>35598</v>
      </c>
      <c r="I29" s="12" t="s">
        <v>229</v>
      </c>
    </row>
    <row r="30" customFormat="false" ht="26.85" hidden="false" customHeight="false" outlineLevel="0" collapsed="false">
      <c r="A30" s="16" t="s">
        <v>230</v>
      </c>
      <c r="B30" s="16" t="n">
        <v>4</v>
      </c>
      <c r="C30" s="20" t="s">
        <v>231</v>
      </c>
      <c r="D30" s="21" t="n">
        <v>22784</v>
      </c>
      <c r="E30" s="20" t="s">
        <v>228</v>
      </c>
      <c r="F30" s="21" t="n">
        <v>20549</v>
      </c>
      <c r="G30" s="21" t="n">
        <v>0</v>
      </c>
      <c r="H30" s="32" t="n">
        <f aca="false">D30+F30+G30</f>
        <v>43333</v>
      </c>
      <c r="I30" s="16" t="s">
        <v>232</v>
      </c>
    </row>
    <row r="31" customFormat="false" ht="26.85" hidden="false" customHeight="false" outlineLevel="0" collapsed="false">
      <c r="A31" s="16" t="s">
        <v>233</v>
      </c>
      <c r="B31" s="16" t="n">
        <v>5</v>
      </c>
      <c r="C31" s="20" t="s">
        <v>234</v>
      </c>
      <c r="D31" s="21" t="n">
        <v>15733</v>
      </c>
      <c r="E31" s="20" t="s">
        <v>225</v>
      </c>
      <c r="F31" s="21" t="n">
        <v>16466</v>
      </c>
      <c r="G31" s="21" t="n">
        <v>950</v>
      </c>
      <c r="H31" s="32" t="n">
        <f aca="false">D31+F31+G31</f>
        <v>33149</v>
      </c>
      <c r="I31" s="16" t="s">
        <v>235</v>
      </c>
    </row>
    <row r="32" customFormat="false" ht="26.85" hidden="false" customHeight="false" outlineLevel="0" collapsed="false">
      <c r="A32" s="16" t="s">
        <v>236</v>
      </c>
      <c r="B32" s="16" t="n">
        <v>5</v>
      </c>
      <c r="C32" s="20" t="s">
        <v>237</v>
      </c>
      <c r="D32" s="21" t="n">
        <v>17781</v>
      </c>
      <c r="E32" s="20" t="s">
        <v>228</v>
      </c>
      <c r="F32" s="21" t="n">
        <v>20549</v>
      </c>
      <c r="G32" s="21" t="n">
        <v>0</v>
      </c>
      <c r="H32" s="32" t="n">
        <f aca="false">D32+F32+G32</f>
        <v>38330</v>
      </c>
      <c r="I32" s="16" t="s">
        <v>238</v>
      </c>
    </row>
    <row r="33" customFormat="false" ht="26.85" hidden="false" customHeight="false" outlineLevel="0" collapsed="false">
      <c r="A33" s="16" t="s">
        <v>239</v>
      </c>
      <c r="B33" s="16" t="n">
        <v>4</v>
      </c>
      <c r="C33" s="20" t="s">
        <v>234</v>
      </c>
      <c r="D33" s="21" t="n">
        <v>15733</v>
      </c>
      <c r="E33" s="20" t="s">
        <v>240</v>
      </c>
      <c r="F33" s="21" t="n">
        <v>33029</v>
      </c>
      <c r="G33" s="21" t="n">
        <v>0</v>
      </c>
      <c r="H33" s="32" t="n">
        <f aca="false">D33+F33+G33</f>
        <v>48762</v>
      </c>
      <c r="I33" s="16" t="s">
        <v>241</v>
      </c>
    </row>
    <row r="35" customFormat="false" ht="16.4" hidden="false" customHeight="false" outlineLevel="0" collapsed="false">
      <c r="A35" s="33" t="s">
        <v>242</v>
      </c>
    </row>
    <row r="36" customFormat="false" ht="15" hidden="false" customHeight="false" outlineLevel="0" collapsed="false">
      <c r="A36" s="8" t="s">
        <v>11</v>
      </c>
      <c r="B36" s="8" t="s">
        <v>136</v>
      </c>
      <c r="C36" s="8"/>
      <c r="D36" s="8"/>
      <c r="E36" s="8"/>
      <c r="F36" s="8"/>
      <c r="G36" s="8" t="s">
        <v>243</v>
      </c>
    </row>
    <row r="37" customFormat="false" ht="15" hidden="false" customHeight="true" outlineLevel="0" collapsed="false">
      <c r="A37" s="37" t="s">
        <v>154</v>
      </c>
      <c r="B37" s="16" t="s">
        <v>244</v>
      </c>
      <c r="C37" s="16"/>
      <c r="D37" s="16"/>
      <c r="E37" s="16"/>
      <c r="F37" s="16"/>
      <c r="G37" s="16" t="s">
        <v>245</v>
      </c>
    </row>
    <row r="38" customFormat="false" ht="26.85" hidden="false" customHeight="true" outlineLevel="0" collapsed="false">
      <c r="A38" s="38" t="s">
        <v>165</v>
      </c>
      <c r="B38" s="12" t="s">
        <v>246</v>
      </c>
      <c r="C38" s="12"/>
      <c r="D38" s="12"/>
      <c r="E38" s="12"/>
      <c r="F38" s="12"/>
      <c r="G38" s="12" t="s">
        <v>247</v>
      </c>
    </row>
    <row r="39" customFormat="false" ht="15" hidden="false" customHeight="true" outlineLevel="0" collapsed="false">
      <c r="A39" s="37" t="s">
        <v>173</v>
      </c>
      <c r="B39" s="16" t="s">
        <v>248</v>
      </c>
      <c r="C39" s="16"/>
      <c r="D39" s="16"/>
      <c r="E39" s="16"/>
      <c r="F39" s="16"/>
      <c r="G39" s="16" t="s">
        <v>249</v>
      </c>
    </row>
    <row r="40" customFormat="false" ht="15" hidden="false" customHeight="true" outlineLevel="0" collapsed="false">
      <c r="A40" s="37" t="s">
        <v>183</v>
      </c>
      <c r="B40" s="16" t="s">
        <v>250</v>
      </c>
      <c r="C40" s="16"/>
      <c r="D40" s="16"/>
      <c r="E40" s="16"/>
      <c r="F40" s="16"/>
      <c r="G40" s="16" t="s">
        <v>251</v>
      </c>
    </row>
    <row r="41" customFormat="false" ht="15" hidden="false" customHeight="true" outlineLevel="0" collapsed="false">
      <c r="A41" s="37" t="s">
        <v>187</v>
      </c>
      <c r="B41" s="16" t="s">
        <v>252</v>
      </c>
      <c r="C41" s="16"/>
      <c r="D41" s="16"/>
      <c r="E41" s="16"/>
      <c r="F41" s="16"/>
      <c r="G41" s="16" t="s">
        <v>245</v>
      </c>
    </row>
    <row r="42" customFormat="false" ht="15" hidden="false" customHeight="true" outlineLevel="0" collapsed="false">
      <c r="A42" s="37" t="s">
        <v>253</v>
      </c>
      <c r="B42" s="16" t="s">
        <v>254</v>
      </c>
      <c r="C42" s="16"/>
      <c r="D42" s="16"/>
      <c r="E42" s="16"/>
      <c r="F42" s="16"/>
      <c r="G42" s="20" t="s">
        <v>64</v>
      </c>
    </row>
  </sheetData>
  <mergeCells count="6">
    <mergeCell ref="B37:F37"/>
    <mergeCell ref="B38:F38"/>
    <mergeCell ref="B39:F39"/>
    <mergeCell ref="B40:F40"/>
    <mergeCell ref="B41:F41"/>
    <mergeCell ref="B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7"/>
    <col collapsed="false" customWidth="true" hidden="false" outlineLevel="0" max="9" min="9" style="0" width="9"/>
    <col collapsed="false" customWidth="true" hidden="false" outlineLevel="0" max="10" min="10" style="0" width="52"/>
  </cols>
  <sheetData>
    <row r="1" customFormat="false" ht="17.15" hidden="false" customHeight="false" outlineLevel="0" collapsed="false">
      <c r="A1" s="25" t="s">
        <v>255</v>
      </c>
    </row>
    <row r="2" customFormat="false" ht="15" hidden="false" customHeight="false" outlineLevel="0" collapsed="false">
      <c r="A2" s="2" t="s">
        <v>256</v>
      </c>
    </row>
    <row r="4" customFormat="false" ht="26.85" hidden="false" customHeight="false" outlineLevel="0" collapsed="false">
      <c r="A4" s="8" t="s">
        <v>10</v>
      </c>
      <c r="B4" s="8" t="s">
        <v>257</v>
      </c>
      <c r="C4" s="8" t="s">
        <v>108</v>
      </c>
      <c r="D4" s="8" t="s">
        <v>220</v>
      </c>
      <c r="E4" s="8" t="s">
        <v>106</v>
      </c>
      <c r="F4" s="8" t="s">
        <v>258</v>
      </c>
      <c r="G4" s="8" t="s">
        <v>111</v>
      </c>
      <c r="H4" s="8" t="s">
        <v>104</v>
      </c>
      <c r="I4" s="8" t="s">
        <v>259</v>
      </c>
      <c r="J4" s="8" t="s">
        <v>112</v>
      </c>
    </row>
    <row r="5" customFormat="false" ht="26.85" hidden="false" customHeight="false" outlineLevel="0" collapsed="false">
      <c r="A5" s="16" t="s">
        <v>260</v>
      </c>
      <c r="B5" s="16" t="s">
        <v>261</v>
      </c>
      <c r="C5" s="21" t="n">
        <v>11147</v>
      </c>
      <c r="D5" s="21" t="n">
        <v>950</v>
      </c>
      <c r="E5" s="21" t="n">
        <v>15733</v>
      </c>
      <c r="F5" s="31" t="n">
        <v>12000</v>
      </c>
      <c r="G5" s="32" t="n">
        <f aca="false">C5+D5+E5+F5*總覽!$B$5</f>
        <v>30350</v>
      </c>
      <c r="H5" s="16" t="n">
        <v>3</v>
      </c>
      <c r="I5" s="20" t="s">
        <v>262</v>
      </c>
      <c r="J5" s="16" t="s">
        <v>263</v>
      </c>
    </row>
    <row r="6" customFormat="false" ht="26.85" hidden="false" customHeight="false" outlineLevel="0" collapsed="false">
      <c r="A6" s="26" t="s">
        <v>264</v>
      </c>
      <c r="B6" s="12" t="s">
        <v>265</v>
      </c>
      <c r="C6" s="28" t="n">
        <v>11999</v>
      </c>
      <c r="D6" s="28" t="n">
        <v>0</v>
      </c>
      <c r="E6" s="28" t="n">
        <v>15733</v>
      </c>
      <c r="F6" s="29" t="n">
        <v>22000</v>
      </c>
      <c r="G6" s="30" t="n">
        <f aca="false">C6+D6+E6+F6*總覽!$B$5</f>
        <v>32352</v>
      </c>
      <c r="H6" s="12" t="n">
        <v>4</v>
      </c>
      <c r="I6" s="27" t="s">
        <v>266</v>
      </c>
      <c r="J6" s="12" t="s">
        <v>267</v>
      </c>
    </row>
    <row r="7" customFormat="false" ht="15" hidden="false" customHeight="false" outlineLevel="0" collapsed="false">
      <c r="A7" s="16" t="s">
        <v>268</v>
      </c>
      <c r="B7" s="16" t="s">
        <v>269</v>
      </c>
      <c r="C7" s="21" t="n">
        <v>11995</v>
      </c>
      <c r="D7" s="21" t="n">
        <v>950</v>
      </c>
      <c r="E7" s="21" t="n">
        <v>15733</v>
      </c>
      <c r="F7" s="31" t="n">
        <v>6500</v>
      </c>
      <c r="G7" s="32" t="n">
        <f aca="false">C7+D7+E7+F7*總覽!$B$5</f>
        <v>30043</v>
      </c>
      <c r="H7" s="16" t="n">
        <v>3</v>
      </c>
      <c r="I7" s="20" t="s">
        <v>270</v>
      </c>
      <c r="J7" s="16" t="s">
        <v>271</v>
      </c>
    </row>
    <row r="8" customFormat="false" ht="15" hidden="false" customHeight="false" outlineLevel="0" collapsed="false">
      <c r="A8" s="16" t="s">
        <v>272</v>
      </c>
      <c r="B8" s="16" t="s">
        <v>273</v>
      </c>
      <c r="C8" s="21" t="n">
        <v>10890</v>
      </c>
      <c r="D8" s="21" t="n">
        <v>950</v>
      </c>
      <c r="E8" s="21" t="n">
        <v>15733</v>
      </c>
      <c r="F8" s="31" t="n">
        <v>9000</v>
      </c>
      <c r="G8" s="32" t="n">
        <f aca="false">C8+D8+E8+F8*總覽!$B$5</f>
        <v>29463</v>
      </c>
      <c r="H8" s="16" t="n">
        <v>4</v>
      </c>
      <c r="I8" s="20" t="s">
        <v>266</v>
      </c>
      <c r="J8" s="16" t="s">
        <v>274</v>
      </c>
    </row>
    <row r="9" customFormat="false" ht="15" hidden="false" customHeight="false" outlineLevel="0" collapsed="false">
      <c r="A9" s="16" t="s">
        <v>275</v>
      </c>
      <c r="B9" s="16" t="s">
        <v>265</v>
      </c>
      <c r="C9" s="21" t="n">
        <v>14987</v>
      </c>
      <c r="D9" s="21" t="n">
        <v>0</v>
      </c>
      <c r="E9" s="21" t="n">
        <v>15733</v>
      </c>
      <c r="F9" s="31" t="n">
        <v>16000</v>
      </c>
      <c r="G9" s="32" t="n">
        <f aca="false">C9+D9+E9+F9*總覽!$B$5</f>
        <v>34080</v>
      </c>
      <c r="H9" s="16" t="n">
        <v>3</v>
      </c>
      <c r="I9" s="20" t="s">
        <v>262</v>
      </c>
      <c r="J9" s="16" t="s">
        <v>276</v>
      </c>
    </row>
    <row r="10" customFormat="false" ht="15" hidden="false" customHeight="false" outlineLevel="0" collapsed="false">
      <c r="A10" s="16" t="s">
        <v>277</v>
      </c>
      <c r="B10" s="16" t="s">
        <v>278</v>
      </c>
      <c r="C10" s="21" t="n">
        <v>20549</v>
      </c>
      <c r="D10" s="21" t="n">
        <v>0</v>
      </c>
      <c r="E10" s="21" t="n">
        <v>15733</v>
      </c>
      <c r="F10" s="31" t="n">
        <v>3000</v>
      </c>
      <c r="G10" s="32" t="n">
        <f aca="false">C10+D10+E10+F10*總覽!$B$5</f>
        <v>36912</v>
      </c>
      <c r="H10" s="16" t="n">
        <v>5</v>
      </c>
      <c r="I10" s="20" t="s">
        <v>279</v>
      </c>
      <c r="J10" s="16" t="s">
        <v>280</v>
      </c>
    </row>
    <row r="12" customFormat="false" ht="16.4" hidden="false" customHeight="false" outlineLevel="0" collapsed="false">
      <c r="A12" s="33" t="s">
        <v>281</v>
      </c>
    </row>
    <row r="13" customFormat="false" ht="15" hidden="false" customHeight="false" outlineLevel="0" collapsed="false">
      <c r="A13" s="8" t="s">
        <v>11</v>
      </c>
      <c r="B13" s="8" t="s">
        <v>136</v>
      </c>
      <c r="C13" s="8"/>
      <c r="D13" s="8"/>
      <c r="E13" s="8"/>
      <c r="F13" s="8"/>
      <c r="G13" s="8"/>
      <c r="H13" s="8"/>
      <c r="I13" s="8" t="s">
        <v>243</v>
      </c>
      <c r="J13" s="8"/>
    </row>
    <row r="14" customFormat="false" ht="15" hidden="false" customHeight="true" outlineLevel="0" collapsed="false">
      <c r="A14" s="37" t="s">
        <v>139</v>
      </c>
      <c r="B14" s="16" t="s">
        <v>282</v>
      </c>
      <c r="C14" s="16"/>
      <c r="D14" s="16"/>
      <c r="E14" s="16"/>
      <c r="F14" s="16"/>
      <c r="G14" s="16"/>
      <c r="H14" s="16"/>
      <c r="I14" s="16" t="s">
        <v>249</v>
      </c>
      <c r="J14" s="16"/>
    </row>
    <row r="15" customFormat="false" ht="15" hidden="false" customHeight="true" outlineLevel="0" collapsed="false">
      <c r="A15" s="37" t="s">
        <v>154</v>
      </c>
      <c r="B15" s="16" t="s">
        <v>283</v>
      </c>
      <c r="C15" s="16"/>
      <c r="D15" s="16"/>
      <c r="E15" s="16"/>
      <c r="F15" s="16"/>
      <c r="G15" s="16"/>
      <c r="H15" s="16"/>
      <c r="I15" s="16" t="s">
        <v>284</v>
      </c>
      <c r="J15" s="16"/>
    </row>
    <row r="16" customFormat="false" ht="26.85" hidden="false" customHeight="true" outlineLevel="0" collapsed="false">
      <c r="A16" s="38" t="s">
        <v>165</v>
      </c>
      <c r="B16" s="12" t="s">
        <v>285</v>
      </c>
      <c r="C16" s="12"/>
      <c r="D16" s="12"/>
      <c r="E16" s="12"/>
      <c r="F16" s="12"/>
      <c r="G16" s="12"/>
      <c r="H16" s="12"/>
      <c r="I16" s="12" t="s">
        <v>247</v>
      </c>
      <c r="J16" s="12"/>
    </row>
    <row r="17" customFormat="false" ht="39.55" hidden="false" customHeight="true" outlineLevel="0" collapsed="false">
      <c r="A17" s="37" t="s">
        <v>173</v>
      </c>
      <c r="B17" s="16" t="s">
        <v>286</v>
      </c>
      <c r="C17" s="16"/>
      <c r="D17" s="16"/>
      <c r="E17" s="16"/>
      <c r="F17" s="16"/>
      <c r="G17" s="16"/>
      <c r="H17" s="16"/>
      <c r="I17" s="16" t="s">
        <v>287</v>
      </c>
      <c r="J17" s="16"/>
    </row>
    <row r="18" customFormat="false" ht="26.85" hidden="false" customHeight="true" outlineLevel="0" collapsed="false">
      <c r="A18" s="37" t="s">
        <v>183</v>
      </c>
      <c r="B18" s="16" t="s">
        <v>288</v>
      </c>
      <c r="C18" s="16"/>
      <c r="D18" s="16"/>
      <c r="E18" s="16"/>
      <c r="F18" s="16"/>
      <c r="G18" s="16"/>
      <c r="H18" s="16"/>
      <c r="I18" s="16" t="s">
        <v>289</v>
      </c>
      <c r="J18" s="16"/>
    </row>
    <row r="19" customFormat="false" ht="15" hidden="false" customHeight="true" outlineLevel="0" collapsed="false">
      <c r="A19" s="37" t="s">
        <v>187</v>
      </c>
      <c r="B19" s="16" t="s">
        <v>290</v>
      </c>
      <c r="C19" s="16"/>
      <c r="D19" s="16"/>
      <c r="E19" s="16"/>
      <c r="F19" s="16"/>
      <c r="G19" s="16"/>
      <c r="H19" s="16"/>
      <c r="I19" s="20" t="s">
        <v>64</v>
      </c>
      <c r="J19" s="16"/>
    </row>
    <row r="21" customFormat="false" ht="15" hidden="false" customHeight="false" outlineLevel="0" collapsed="false">
      <c r="A21" s="2" t="s">
        <v>291</v>
      </c>
    </row>
    <row r="22" customFormat="false" ht="15" hidden="false" customHeight="false" outlineLevel="0" collapsed="false">
      <c r="A22" s="2" t="s">
        <v>292</v>
      </c>
    </row>
  </sheetData>
  <mergeCells count="6">
    <mergeCell ref="B14:H14"/>
    <mergeCell ref="B15:H15"/>
    <mergeCell ref="B16:H16"/>
    <mergeCell ref="B17:H17"/>
    <mergeCell ref="B18:H18"/>
    <mergeCell ref="B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25" t="s">
        <v>293</v>
      </c>
    </row>
    <row r="2" customFormat="false" ht="15" hidden="false" customHeight="false" outlineLevel="0" collapsed="false">
      <c r="A2" s="2" t="s">
        <v>294</v>
      </c>
    </row>
    <row r="4" customFormat="false" ht="15" hidden="false" customHeight="false" outlineLevel="0" collapsed="false">
      <c r="A4" s="8" t="s">
        <v>11</v>
      </c>
      <c r="B4" s="8" t="s">
        <v>29</v>
      </c>
      <c r="C4" s="8" t="s">
        <v>30</v>
      </c>
      <c r="D4" s="8" t="s">
        <v>295</v>
      </c>
      <c r="E4" s="8" t="s">
        <v>32</v>
      </c>
      <c r="F4" s="8" t="s">
        <v>33</v>
      </c>
      <c r="G4" s="8" t="s">
        <v>200</v>
      </c>
    </row>
    <row r="5" customFormat="false" ht="15" hidden="false" customHeight="false" outlineLevel="0" collapsed="false">
      <c r="A5" s="22" t="s">
        <v>201</v>
      </c>
      <c r="B5" s="23" t="s">
        <v>36</v>
      </c>
      <c r="C5" s="23" t="s">
        <v>37</v>
      </c>
      <c r="D5" s="22" t="s">
        <v>38</v>
      </c>
      <c r="E5" s="24" t="n">
        <v>44798</v>
      </c>
      <c r="F5" s="23" t="s">
        <v>61</v>
      </c>
      <c r="G5" s="23" t="s">
        <v>296</v>
      </c>
    </row>
    <row r="6" customFormat="false" ht="15" hidden="false" customHeight="false" outlineLevel="0" collapsed="false">
      <c r="A6" s="20" t="s">
        <v>203</v>
      </c>
      <c r="B6" s="16" t="s">
        <v>36</v>
      </c>
      <c r="C6" s="16" t="s">
        <v>41</v>
      </c>
      <c r="D6" s="20" t="s">
        <v>42</v>
      </c>
      <c r="E6" s="21" t="n">
        <v>22784</v>
      </c>
      <c r="F6" s="16" t="s">
        <v>39</v>
      </c>
      <c r="G6" s="16"/>
    </row>
    <row r="7" customFormat="false" ht="15" hidden="false" customHeight="false" outlineLevel="0" collapsed="false">
      <c r="A7" s="20" t="s">
        <v>204</v>
      </c>
      <c r="B7" s="16" t="s">
        <v>36</v>
      </c>
      <c r="C7" s="16" t="s">
        <v>37</v>
      </c>
      <c r="D7" s="20" t="s">
        <v>38</v>
      </c>
      <c r="E7" s="21" t="n">
        <v>27591</v>
      </c>
      <c r="F7" s="16" t="s">
        <v>39</v>
      </c>
      <c r="G7" s="16"/>
    </row>
    <row r="8" customFormat="false" ht="15" hidden="false" customHeight="false" outlineLevel="0" collapsed="false">
      <c r="A8" s="22" t="s">
        <v>204</v>
      </c>
      <c r="B8" s="23" t="s">
        <v>36</v>
      </c>
      <c r="C8" s="23" t="s">
        <v>41</v>
      </c>
      <c r="D8" s="22" t="s">
        <v>42</v>
      </c>
      <c r="E8" s="24" t="n">
        <v>44374</v>
      </c>
      <c r="F8" s="23" t="s">
        <v>61</v>
      </c>
      <c r="G8" s="23" t="s">
        <v>296</v>
      </c>
    </row>
    <row r="9" customFormat="false" ht="15" hidden="false" customHeight="false" outlineLevel="0" collapsed="false">
      <c r="A9" s="20" t="s">
        <v>204</v>
      </c>
      <c r="B9" s="16" t="s">
        <v>36</v>
      </c>
      <c r="C9" s="16" t="s">
        <v>44</v>
      </c>
      <c r="D9" s="20" t="s">
        <v>45</v>
      </c>
      <c r="E9" s="21" t="n">
        <v>15599</v>
      </c>
      <c r="F9" s="16" t="s">
        <v>39</v>
      </c>
      <c r="G9" s="16" t="s">
        <v>297</v>
      </c>
    </row>
    <row r="10" customFormat="false" ht="15" hidden="false" customHeight="false" outlineLevel="0" collapsed="false">
      <c r="A10" s="20" t="s">
        <v>35</v>
      </c>
      <c r="B10" s="16" t="s">
        <v>36</v>
      </c>
      <c r="C10" s="16" t="s">
        <v>37</v>
      </c>
      <c r="D10" s="20" t="s">
        <v>38</v>
      </c>
      <c r="E10" s="21" t="n">
        <v>25171</v>
      </c>
      <c r="F10" s="16" t="s">
        <v>39</v>
      </c>
      <c r="G10" s="16"/>
    </row>
    <row r="11" customFormat="false" ht="15" hidden="false" customHeight="false" outlineLevel="0" collapsed="false">
      <c r="A11" s="20" t="s">
        <v>35</v>
      </c>
      <c r="B11" s="16" t="s">
        <v>36</v>
      </c>
      <c r="C11" s="16" t="s">
        <v>41</v>
      </c>
      <c r="D11" s="20" t="s">
        <v>42</v>
      </c>
      <c r="E11" s="21" t="n">
        <v>22784</v>
      </c>
      <c r="F11" s="16" t="s">
        <v>39</v>
      </c>
      <c r="G11" s="16"/>
    </row>
    <row r="12" customFormat="false" ht="15" hidden="false" customHeight="false" outlineLevel="0" collapsed="false">
      <c r="A12" s="20" t="s">
        <v>35</v>
      </c>
      <c r="B12" s="16" t="s">
        <v>36</v>
      </c>
      <c r="C12" s="16" t="s">
        <v>44</v>
      </c>
      <c r="D12" s="20" t="s">
        <v>45</v>
      </c>
      <c r="E12" s="21" t="n">
        <v>15599</v>
      </c>
      <c r="F12" s="16" t="s">
        <v>39</v>
      </c>
      <c r="G12" s="16" t="s">
        <v>297</v>
      </c>
    </row>
    <row r="13" customFormat="false" ht="15" hidden="false" customHeight="false" outlineLevel="0" collapsed="false">
      <c r="A13" s="20" t="s">
        <v>47</v>
      </c>
      <c r="B13" s="16" t="s">
        <v>36</v>
      </c>
      <c r="C13" s="16" t="s">
        <v>37</v>
      </c>
      <c r="D13" s="20" t="s">
        <v>38</v>
      </c>
      <c r="E13" s="21" t="n">
        <v>20266</v>
      </c>
      <c r="F13" s="16" t="s">
        <v>39</v>
      </c>
      <c r="G13" s="16"/>
    </row>
    <row r="14" customFormat="false" ht="15" hidden="false" customHeight="false" outlineLevel="0" collapsed="false">
      <c r="A14" s="20" t="s">
        <v>47</v>
      </c>
      <c r="B14" s="16" t="s">
        <v>36</v>
      </c>
      <c r="C14" s="16" t="s">
        <v>41</v>
      </c>
      <c r="D14" s="20" t="s">
        <v>42</v>
      </c>
      <c r="E14" s="21" t="n">
        <v>17480</v>
      </c>
      <c r="F14" s="16" t="s">
        <v>39</v>
      </c>
      <c r="G14" s="16" t="s">
        <v>298</v>
      </c>
    </row>
    <row r="15" customFormat="false" ht="15" hidden="false" customHeight="false" outlineLevel="0" collapsed="false">
      <c r="A15" s="22" t="s">
        <v>49</v>
      </c>
      <c r="B15" s="23" t="s">
        <v>36</v>
      </c>
      <c r="C15" s="23" t="s">
        <v>37</v>
      </c>
      <c r="D15" s="22" t="s">
        <v>38</v>
      </c>
      <c r="E15" s="24" t="n">
        <v>44798</v>
      </c>
      <c r="F15" s="23" t="s">
        <v>61</v>
      </c>
      <c r="G15" s="23" t="s">
        <v>296</v>
      </c>
    </row>
    <row r="16" customFormat="false" ht="15" hidden="false" customHeight="false" outlineLevel="0" collapsed="false">
      <c r="A16" s="20" t="s">
        <v>49</v>
      </c>
      <c r="B16" s="16" t="s">
        <v>36</v>
      </c>
      <c r="C16" s="16" t="s">
        <v>41</v>
      </c>
      <c r="D16" s="20" t="s">
        <v>42</v>
      </c>
      <c r="E16" s="21" t="n">
        <v>22784</v>
      </c>
      <c r="F16" s="16" t="s">
        <v>39</v>
      </c>
      <c r="G16" s="16"/>
    </row>
    <row r="17" customFormat="false" ht="15" hidden="false" customHeight="false" outlineLevel="0" collapsed="false">
      <c r="A17" s="20" t="s">
        <v>49</v>
      </c>
      <c r="B17" s="16" t="s">
        <v>36</v>
      </c>
      <c r="C17" s="16" t="s">
        <v>44</v>
      </c>
      <c r="D17" s="20" t="s">
        <v>45</v>
      </c>
      <c r="E17" s="21" t="n">
        <v>14099</v>
      </c>
      <c r="F17" s="16" t="s">
        <v>39</v>
      </c>
      <c r="G17" s="16" t="s">
        <v>297</v>
      </c>
    </row>
    <row r="18" customFormat="false" ht="15" hidden="false" customHeight="false" outlineLevel="0" collapsed="false">
      <c r="A18" s="20" t="s">
        <v>205</v>
      </c>
      <c r="B18" s="16" t="s">
        <v>299</v>
      </c>
      <c r="C18" s="16" t="s">
        <v>44</v>
      </c>
      <c r="D18" s="20" t="s">
        <v>300</v>
      </c>
      <c r="E18" s="21" t="n">
        <v>12799</v>
      </c>
      <c r="F18" s="16" t="s">
        <v>39</v>
      </c>
      <c r="G18" s="16" t="s">
        <v>297</v>
      </c>
    </row>
    <row r="19" customFormat="false" ht="15" hidden="false" customHeight="false" outlineLevel="0" collapsed="false">
      <c r="A19" s="20" t="s">
        <v>204</v>
      </c>
      <c r="B19" s="16" t="s">
        <v>301</v>
      </c>
      <c r="C19" s="16" t="s">
        <v>44</v>
      </c>
      <c r="D19" s="20" t="s">
        <v>302</v>
      </c>
      <c r="E19" s="21" t="n">
        <v>14599</v>
      </c>
      <c r="F19" s="16" t="s">
        <v>39</v>
      </c>
      <c r="G19" s="16" t="s">
        <v>297</v>
      </c>
    </row>
    <row r="20" customFormat="false" ht="15" hidden="false" customHeight="false" outlineLevel="0" collapsed="false">
      <c r="A20" s="20" t="s">
        <v>49</v>
      </c>
      <c r="B20" s="16" t="s">
        <v>301</v>
      </c>
      <c r="C20" s="16" t="s">
        <v>44</v>
      </c>
      <c r="D20" s="20" t="s">
        <v>302</v>
      </c>
      <c r="E20" s="21" t="n">
        <v>13099</v>
      </c>
      <c r="F20" s="16" t="s">
        <v>39</v>
      </c>
      <c r="G20" s="16" t="s">
        <v>297</v>
      </c>
    </row>
    <row r="21" customFormat="false" ht="15" hidden="false" customHeight="false" outlineLevel="0" collapsed="false">
      <c r="A21" s="20" t="s">
        <v>47</v>
      </c>
      <c r="B21" s="16" t="s">
        <v>303</v>
      </c>
      <c r="C21" s="16" t="s">
        <v>44</v>
      </c>
      <c r="D21" s="20" t="s">
        <v>304</v>
      </c>
      <c r="E21" s="21" t="n">
        <v>17099</v>
      </c>
      <c r="F21" s="16" t="s">
        <v>39</v>
      </c>
      <c r="G21" s="16" t="s">
        <v>297</v>
      </c>
    </row>
    <row r="22" customFormat="false" ht="15" hidden="false" customHeight="false" outlineLevel="0" collapsed="false">
      <c r="A22" s="20" t="s">
        <v>204</v>
      </c>
      <c r="B22" s="16" t="s">
        <v>305</v>
      </c>
      <c r="C22" s="16" t="s">
        <v>37</v>
      </c>
      <c r="D22" s="20" t="s">
        <v>306</v>
      </c>
      <c r="E22" s="21" t="n">
        <v>25171</v>
      </c>
      <c r="F22" s="16" t="s">
        <v>39</v>
      </c>
      <c r="G22" s="16"/>
    </row>
    <row r="23" customFormat="false" ht="15" hidden="false" customHeight="false" outlineLevel="0" collapsed="false">
      <c r="A23" s="20" t="s">
        <v>205</v>
      </c>
      <c r="B23" s="16" t="s">
        <v>305</v>
      </c>
      <c r="C23" s="16" t="s">
        <v>37</v>
      </c>
      <c r="D23" s="20" t="s">
        <v>306</v>
      </c>
      <c r="E23" s="21" t="n">
        <v>25171</v>
      </c>
      <c r="F23" s="16" t="s">
        <v>39</v>
      </c>
      <c r="G23" s="16"/>
    </row>
    <row r="24" customFormat="false" ht="15" hidden="false" customHeight="false" outlineLevel="0" collapsed="false">
      <c r="A24" s="20" t="s">
        <v>35</v>
      </c>
      <c r="B24" s="16" t="s">
        <v>305</v>
      </c>
      <c r="C24" s="16" t="s">
        <v>37</v>
      </c>
      <c r="D24" s="20" t="s">
        <v>306</v>
      </c>
      <c r="E24" s="21" t="n">
        <v>25171</v>
      </c>
      <c r="F24" s="16" t="s">
        <v>39</v>
      </c>
      <c r="G24" s="16"/>
    </row>
    <row r="25" customFormat="false" ht="15" hidden="false" customHeight="false" outlineLevel="0" collapsed="false">
      <c r="A25" s="20" t="s">
        <v>47</v>
      </c>
      <c r="B25" s="16" t="s">
        <v>305</v>
      </c>
      <c r="C25" s="16" t="s">
        <v>37</v>
      </c>
      <c r="D25" s="20" t="s">
        <v>306</v>
      </c>
      <c r="E25" s="21" t="n">
        <v>20266</v>
      </c>
      <c r="F25" s="16" t="s">
        <v>39</v>
      </c>
      <c r="G25" s="16"/>
    </row>
    <row r="26" customFormat="false" ht="15" hidden="false" customHeight="false" outlineLevel="0" collapsed="false">
      <c r="A26" s="20" t="s">
        <v>49</v>
      </c>
      <c r="B26" s="16" t="s">
        <v>305</v>
      </c>
      <c r="C26" s="16" t="s">
        <v>37</v>
      </c>
      <c r="D26" s="20" t="s">
        <v>306</v>
      </c>
      <c r="E26" s="21" t="n">
        <v>25171</v>
      </c>
      <c r="F26" s="16" t="s">
        <v>39</v>
      </c>
      <c r="G26" s="16"/>
    </row>
    <row r="27" customFormat="false" ht="15" hidden="false" customHeight="false" outlineLevel="0" collapsed="false">
      <c r="A27" s="22" t="s">
        <v>58</v>
      </c>
      <c r="B27" s="23" t="s">
        <v>59</v>
      </c>
      <c r="C27" s="23" t="s">
        <v>37</v>
      </c>
      <c r="D27" s="22" t="s">
        <v>60</v>
      </c>
      <c r="E27" s="24" t="n">
        <v>33270</v>
      </c>
      <c r="F27" s="23" t="s">
        <v>61</v>
      </c>
      <c r="G27" s="23" t="s">
        <v>296</v>
      </c>
    </row>
    <row r="28" customFormat="false" ht="15" hidden="false" customHeight="false" outlineLevel="0" collapsed="false">
      <c r="A28" s="22" t="s">
        <v>58</v>
      </c>
      <c r="B28" s="23" t="s">
        <v>59</v>
      </c>
      <c r="C28" s="23" t="s">
        <v>41</v>
      </c>
      <c r="D28" s="22" t="s">
        <v>63</v>
      </c>
      <c r="E28" s="24" t="n">
        <v>34552</v>
      </c>
      <c r="F28" s="23" t="s">
        <v>61</v>
      </c>
      <c r="G28" s="23" t="s">
        <v>296</v>
      </c>
    </row>
    <row r="29" customFormat="false" ht="15" hidden="false" customHeight="false" outlineLevel="0" collapsed="false">
      <c r="A29" s="22" t="s">
        <v>69</v>
      </c>
      <c r="B29" s="23" t="s">
        <v>59</v>
      </c>
      <c r="C29" s="23" t="s">
        <v>41</v>
      </c>
      <c r="D29" s="22" t="s">
        <v>63</v>
      </c>
      <c r="E29" s="24" t="n">
        <v>34552</v>
      </c>
      <c r="F29" s="23" t="s">
        <v>61</v>
      </c>
      <c r="G29" s="23" t="s">
        <v>296</v>
      </c>
    </row>
    <row r="30" customFormat="false" ht="15" hidden="false" customHeight="false" outlineLevel="0" collapsed="false">
      <c r="A30" s="22" t="s">
        <v>71</v>
      </c>
      <c r="B30" s="23" t="s">
        <v>59</v>
      </c>
      <c r="C30" s="23" t="s">
        <v>37</v>
      </c>
      <c r="D30" s="22" t="s">
        <v>60</v>
      </c>
      <c r="E30" s="24" t="n">
        <v>33270</v>
      </c>
      <c r="F30" s="23" t="s">
        <v>61</v>
      </c>
      <c r="G30" s="23" t="s">
        <v>296</v>
      </c>
    </row>
    <row r="31" customFormat="false" ht="15" hidden="false" customHeight="false" outlineLevel="0" collapsed="false">
      <c r="A31" s="20" t="s">
        <v>71</v>
      </c>
      <c r="B31" s="16" t="s">
        <v>59</v>
      </c>
      <c r="C31" s="16" t="s">
        <v>41</v>
      </c>
      <c r="D31" s="20" t="s">
        <v>63</v>
      </c>
      <c r="E31" s="21" t="n">
        <v>16144</v>
      </c>
      <c r="F31" s="16" t="s">
        <v>39</v>
      </c>
      <c r="G31" s="16" t="s">
        <v>307</v>
      </c>
    </row>
    <row r="32" customFormat="false" ht="15" hidden="false" customHeight="false" outlineLevel="0" collapsed="false">
      <c r="A32" s="20" t="s">
        <v>71</v>
      </c>
      <c r="B32" s="16" t="s">
        <v>59</v>
      </c>
      <c r="C32" s="16" t="s">
        <v>44</v>
      </c>
      <c r="D32" s="20" t="s">
        <v>72</v>
      </c>
      <c r="E32" s="21" t="n">
        <v>16585</v>
      </c>
      <c r="F32" s="16" t="s">
        <v>39</v>
      </c>
      <c r="G32" s="16" t="s">
        <v>297</v>
      </c>
    </row>
    <row r="33" customFormat="false" ht="15" hidden="false" customHeight="false" outlineLevel="0" collapsed="false">
      <c r="A33" s="20" t="s">
        <v>69</v>
      </c>
      <c r="B33" s="16" t="s">
        <v>308</v>
      </c>
      <c r="C33" s="16" t="s">
        <v>44</v>
      </c>
      <c r="D33" s="20" t="s">
        <v>309</v>
      </c>
      <c r="E33" s="21" t="n">
        <v>10970</v>
      </c>
      <c r="F33" s="16" t="s">
        <v>39</v>
      </c>
      <c r="G33" s="16" t="s">
        <v>297</v>
      </c>
    </row>
    <row r="34" customFormat="false" ht="15" hidden="false" customHeight="false" outlineLevel="0" collapsed="false">
      <c r="A34" s="20" t="s">
        <v>58</v>
      </c>
      <c r="B34" s="16" t="s">
        <v>310</v>
      </c>
      <c r="C34" s="16" t="s">
        <v>44</v>
      </c>
      <c r="D34" s="20" t="s">
        <v>311</v>
      </c>
      <c r="E34" s="21" t="n">
        <v>11228</v>
      </c>
      <c r="F34" s="16" t="s">
        <v>39</v>
      </c>
      <c r="G34" s="16" t="s">
        <v>297</v>
      </c>
    </row>
    <row r="35" customFormat="false" ht="15" hidden="false" customHeight="false" outlineLevel="0" collapsed="false">
      <c r="A35" s="20" t="s">
        <v>66</v>
      </c>
      <c r="B35" s="16" t="s">
        <v>312</v>
      </c>
      <c r="C35" s="16" t="s">
        <v>44</v>
      </c>
      <c r="D35" s="20" t="s">
        <v>313</v>
      </c>
      <c r="E35" s="21" t="n">
        <v>12082</v>
      </c>
      <c r="F35" s="16" t="s">
        <v>39</v>
      </c>
      <c r="G35" s="16" t="s">
        <v>297</v>
      </c>
    </row>
    <row r="36" customFormat="false" ht="15" hidden="false" customHeight="false" outlineLevel="0" collapsed="false">
      <c r="A36" s="20" t="s">
        <v>66</v>
      </c>
      <c r="B36" s="16" t="s">
        <v>314</v>
      </c>
      <c r="C36" s="16" t="s">
        <v>37</v>
      </c>
      <c r="D36" s="20" t="s">
        <v>315</v>
      </c>
      <c r="E36" s="21" t="n">
        <v>20631</v>
      </c>
      <c r="F36" s="16" t="s">
        <v>39</v>
      </c>
      <c r="G36" s="16"/>
    </row>
    <row r="37" customFormat="false" ht="15" hidden="false" customHeight="false" outlineLevel="0" collapsed="false">
      <c r="A37" s="20" t="s">
        <v>58</v>
      </c>
      <c r="B37" s="16" t="s">
        <v>314</v>
      </c>
      <c r="C37" s="16" t="s">
        <v>37</v>
      </c>
      <c r="D37" s="20" t="s">
        <v>315</v>
      </c>
      <c r="E37" s="21" t="n">
        <v>15099</v>
      </c>
      <c r="F37" s="16" t="s">
        <v>39</v>
      </c>
      <c r="G37" s="16"/>
    </row>
    <row r="38" customFormat="false" ht="15" hidden="false" customHeight="false" outlineLevel="0" collapsed="false">
      <c r="A38" s="20" t="s">
        <v>69</v>
      </c>
      <c r="B38" s="16" t="s">
        <v>314</v>
      </c>
      <c r="C38" s="16" t="s">
        <v>37</v>
      </c>
      <c r="D38" s="20" t="s">
        <v>315</v>
      </c>
      <c r="E38" s="21" t="n">
        <v>15099</v>
      </c>
      <c r="F38" s="16" t="s">
        <v>39</v>
      </c>
      <c r="G38" s="16"/>
    </row>
    <row r="39" customFormat="false" ht="15" hidden="false" customHeight="false" outlineLevel="0" collapsed="false">
      <c r="A39" s="20" t="s">
        <v>71</v>
      </c>
      <c r="B39" s="16" t="s">
        <v>314</v>
      </c>
      <c r="C39" s="16" t="s">
        <v>37</v>
      </c>
      <c r="D39" s="20" t="s">
        <v>315</v>
      </c>
      <c r="E39" s="21" t="n">
        <v>15099</v>
      </c>
      <c r="F39" s="16" t="s">
        <v>39</v>
      </c>
      <c r="G39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44"/>
  </cols>
  <sheetData>
    <row r="1" customFormat="false" ht="17.15" hidden="false" customHeight="false" outlineLevel="0" collapsed="false">
      <c r="A1" s="25" t="s">
        <v>316</v>
      </c>
    </row>
    <row r="2" customFormat="false" ht="15" hidden="false" customHeight="false" outlineLevel="0" collapsed="false">
      <c r="A2" s="2" t="s">
        <v>317</v>
      </c>
    </row>
    <row r="4" customFormat="false" ht="26.85" hidden="false" customHeight="false" outlineLevel="0" collapsed="false">
      <c r="A4" s="8" t="s">
        <v>318</v>
      </c>
      <c r="B4" s="8" t="s">
        <v>29</v>
      </c>
      <c r="C4" s="8" t="s">
        <v>31</v>
      </c>
      <c r="D4" s="8" t="s">
        <v>319</v>
      </c>
      <c r="E4" s="8" t="s">
        <v>320</v>
      </c>
      <c r="F4" s="8" t="s">
        <v>321</v>
      </c>
      <c r="G4" s="8" t="s">
        <v>322</v>
      </c>
      <c r="H4" s="8" t="s">
        <v>323</v>
      </c>
      <c r="I4" s="8" t="s">
        <v>222</v>
      </c>
    </row>
    <row r="5" customFormat="false" ht="15" hidden="false" customHeight="false" outlineLevel="0" collapsed="false">
      <c r="A5" s="39" t="s">
        <v>324</v>
      </c>
      <c r="B5" s="36" t="s">
        <v>36</v>
      </c>
      <c r="C5" s="35" t="s">
        <v>42</v>
      </c>
      <c r="D5" s="40" t="n">
        <v>34960</v>
      </c>
      <c r="E5" s="40" t="n">
        <v>0</v>
      </c>
      <c r="F5" s="41" t="n">
        <v>3560</v>
      </c>
      <c r="G5" s="42" t="n">
        <f aca="false">D5+E5+F5*總覽!$B$5</f>
        <v>35707.6</v>
      </c>
      <c r="H5" s="42" t="n">
        <f aca="false">G5/2</f>
        <v>17853.8</v>
      </c>
      <c r="I5" s="36" t="s">
        <v>325</v>
      </c>
    </row>
    <row r="6" customFormat="false" ht="15" hidden="false" customHeight="false" outlineLevel="0" collapsed="false">
      <c r="A6" s="36" t="s">
        <v>326</v>
      </c>
      <c r="B6" s="36" t="s">
        <v>36</v>
      </c>
      <c r="C6" s="35" t="s">
        <v>38</v>
      </c>
      <c r="D6" s="40" t="n">
        <v>40532</v>
      </c>
      <c r="E6" s="40" t="n">
        <v>0</v>
      </c>
      <c r="F6" s="41" t="n">
        <v>3560</v>
      </c>
      <c r="G6" s="42" t="n">
        <f aca="false">D6+E6+F6*總覽!$B$5</f>
        <v>41279.6</v>
      </c>
      <c r="H6" s="42" t="n">
        <f aca="false">G6/2</f>
        <v>20639.8</v>
      </c>
      <c r="I6" s="36" t="s">
        <v>327</v>
      </c>
    </row>
    <row r="7" customFormat="false" ht="15" hidden="false" customHeight="false" outlineLevel="0" collapsed="false">
      <c r="A7" s="16" t="s">
        <v>328</v>
      </c>
      <c r="B7" s="16" t="s">
        <v>329</v>
      </c>
      <c r="C7" s="20" t="s">
        <v>330</v>
      </c>
      <c r="D7" s="21" t="n">
        <v>19450</v>
      </c>
      <c r="E7" s="21" t="n">
        <v>2000</v>
      </c>
      <c r="F7" s="31" t="n">
        <v>29540</v>
      </c>
      <c r="G7" s="32" t="n">
        <f aca="false">D7+E7+F7*總覽!$B$5</f>
        <v>27653.4</v>
      </c>
      <c r="H7" s="32" t="n">
        <f aca="false">G7/2</f>
        <v>13826.7</v>
      </c>
      <c r="I7" s="16" t="s">
        <v>331</v>
      </c>
    </row>
    <row r="8" customFormat="false" ht="15" hidden="false" customHeight="false" outlineLevel="0" collapsed="false">
      <c r="A8" s="16" t="s">
        <v>332</v>
      </c>
      <c r="B8" s="16" t="s">
        <v>329</v>
      </c>
      <c r="C8" s="20" t="s">
        <v>333</v>
      </c>
      <c r="D8" s="21" t="n">
        <v>21398</v>
      </c>
      <c r="E8" s="21" t="n">
        <v>1900</v>
      </c>
      <c r="F8" s="31" t="n">
        <v>29540</v>
      </c>
      <c r="G8" s="32" t="n">
        <f aca="false">D8+E8+F8*總覽!$B$5</f>
        <v>29501.4</v>
      </c>
      <c r="H8" s="32" t="n">
        <f aca="false">G8/2</f>
        <v>14750.7</v>
      </c>
      <c r="I8" s="16" t="s">
        <v>334</v>
      </c>
    </row>
    <row r="9" customFormat="false" ht="15" hidden="false" customHeight="false" outlineLevel="0" collapsed="false">
      <c r="A9" s="16" t="s">
        <v>51</v>
      </c>
      <c r="B9" s="16" t="s">
        <v>329</v>
      </c>
      <c r="C9" s="20" t="s">
        <v>335</v>
      </c>
      <c r="D9" s="21" t="n">
        <v>30484</v>
      </c>
      <c r="E9" s="21" t="n">
        <v>0</v>
      </c>
      <c r="F9" s="31" t="n">
        <v>29540</v>
      </c>
      <c r="G9" s="32" t="n">
        <f aca="false">D9+E9+F9*總覽!$B$5</f>
        <v>36687.4</v>
      </c>
      <c r="H9" s="32" t="n">
        <f aca="false">G9/2</f>
        <v>18343.7</v>
      </c>
      <c r="I9" s="16" t="s">
        <v>336</v>
      </c>
    </row>
    <row r="10" customFormat="false" ht="15" hidden="false" customHeight="false" outlineLevel="0" collapsed="false">
      <c r="A10" s="16" t="s">
        <v>337</v>
      </c>
      <c r="B10" s="16" t="s">
        <v>329</v>
      </c>
      <c r="C10" s="20" t="s">
        <v>338</v>
      </c>
      <c r="D10" s="21" t="n">
        <v>33960</v>
      </c>
      <c r="E10" s="21" t="n">
        <v>0</v>
      </c>
      <c r="F10" s="31" t="n">
        <v>29540</v>
      </c>
      <c r="G10" s="32" t="n">
        <f aca="false">D10+E10+F10*總覽!$B$5</f>
        <v>40163.4</v>
      </c>
      <c r="H10" s="32" t="n">
        <f aca="false">G10/2</f>
        <v>20081.7</v>
      </c>
      <c r="I10" s="16" t="s">
        <v>207</v>
      </c>
    </row>
    <row r="11" customFormat="false" ht="15" hidden="false" customHeight="false" outlineLevel="0" collapsed="false">
      <c r="A11" s="16" t="s">
        <v>56</v>
      </c>
      <c r="B11" s="16" t="s">
        <v>50</v>
      </c>
      <c r="C11" s="20" t="s">
        <v>57</v>
      </c>
      <c r="D11" s="21" t="n">
        <v>34504</v>
      </c>
      <c r="E11" s="21" t="n">
        <v>0</v>
      </c>
      <c r="F11" s="31" t="n">
        <v>24600</v>
      </c>
      <c r="G11" s="32" t="n">
        <f aca="false">D11+E11+F11*總覽!$B$5</f>
        <v>39670</v>
      </c>
      <c r="H11" s="32" t="n">
        <f aca="false">G11/2</f>
        <v>19835</v>
      </c>
      <c r="I11" s="16" t="s">
        <v>339</v>
      </c>
    </row>
    <row r="12" customFormat="false" ht="15" hidden="false" customHeight="false" outlineLevel="0" collapsed="false">
      <c r="A12" s="16" t="s">
        <v>340</v>
      </c>
      <c r="B12" s="16" t="s">
        <v>50</v>
      </c>
      <c r="C12" s="20" t="s">
        <v>54</v>
      </c>
      <c r="D12" s="21" t="n">
        <v>34630</v>
      </c>
      <c r="E12" s="21" t="n">
        <v>0</v>
      </c>
      <c r="F12" s="31" t="n">
        <v>24600</v>
      </c>
      <c r="G12" s="32" t="n">
        <f aca="false">D12+E12+F12*總覽!$B$5</f>
        <v>39796</v>
      </c>
      <c r="H12" s="32" t="n">
        <f aca="false">G12/2</f>
        <v>19898</v>
      </c>
      <c r="I12" s="16" t="s">
        <v>341</v>
      </c>
    </row>
    <row r="13" customFormat="false" ht="15" hidden="false" customHeight="false" outlineLevel="0" collapsed="false">
      <c r="A13" s="2" t="s">
        <v>342</v>
      </c>
    </row>
    <row r="15" customFormat="false" ht="15" hidden="false" customHeight="false" outlineLevel="0" collapsed="false">
      <c r="A15" s="8" t="s">
        <v>343</v>
      </c>
      <c r="B15" s="8" t="s">
        <v>29</v>
      </c>
      <c r="C15" s="8" t="s">
        <v>31</v>
      </c>
      <c r="D15" s="8" t="s">
        <v>319</v>
      </c>
      <c r="E15" s="8" t="s">
        <v>320</v>
      </c>
      <c r="F15" s="8"/>
      <c r="G15" s="8" t="s">
        <v>322</v>
      </c>
      <c r="H15" s="8" t="s">
        <v>323</v>
      </c>
      <c r="I15" s="8" t="s">
        <v>222</v>
      </c>
    </row>
    <row r="16" customFormat="false" ht="15" hidden="false" customHeight="false" outlineLevel="0" collapsed="false">
      <c r="A16" s="16" t="s">
        <v>344</v>
      </c>
      <c r="B16" s="16" t="s">
        <v>314</v>
      </c>
      <c r="C16" s="20" t="s">
        <v>315</v>
      </c>
      <c r="D16" s="21" t="n">
        <v>30174</v>
      </c>
      <c r="E16" s="21" t="n">
        <v>0</v>
      </c>
      <c r="F16" s="16"/>
      <c r="G16" s="32" t="n">
        <f aca="false">D16+E16</f>
        <v>30174</v>
      </c>
      <c r="H16" s="32" t="n">
        <f aca="false">G16/2</f>
        <v>15087</v>
      </c>
      <c r="I16" s="16" t="s">
        <v>345</v>
      </c>
    </row>
    <row r="17" customFormat="false" ht="15" hidden="false" customHeight="false" outlineLevel="0" collapsed="false">
      <c r="A17" s="16" t="s">
        <v>346</v>
      </c>
      <c r="B17" s="16" t="s">
        <v>59</v>
      </c>
      <c r="C17" s="20" t="s">
        <v>347</v>
      </c>
      <c r="D17" s="21" t="n">
        <v>35947</v>
      </c>
      <c r="E17" s="21" t="n">
        <v>0</v>
      </c>
      <c r="F17" s="16"/>
      <c r="G17" s="32" t="n">
        <f aca="false">D17+E17</f>
        <v>35947</v>
      </c>
      <c r="H17" s="32" t="n">
        <f aca="false">G17/2</f>
        <v>17973.5</v>
      </c>
      <c r="I17" s="16" t="s">
        <v>348</v>
      </c>
    </row>
    <row r="18" customFormat="false" ht="15" hidden="false" customHeight="false" outlineLevel="0" collapsed="false">
      <c r="A18" s="16" t="s">
        <v>349</v>
      </c>
      <c r="B18" s="16" t="s">
        <v>350</v>
      </c>
      <c r="C18" s="20" t="s">
        <v>351</v>
      </c>
      <c r="D18" s="21" t="n">
        <v>36317</v>
      </c>
      <c r="E18" s="21" t="n">
        <v>1900</v>
      </c>
      <c r="F18" s="16"/>
      <c r="G18" s="32" t="n">
        <f aca="false">D18+E18</f>
        <v>38217</v>
      </c>
      <c r="H18" s="32" t="n">
        <f aca="false">G18/2</f>
        <v>19108.5</v>
      </c>
      <c r="I18" s="16" t="s">
        <v>352</v>
      </c>
    </row>
    <row r="19" customFormat="false" ht="15" hidden="false" customHeight="false" outlineLevel="0" collapsed="false">
      <c r="A19" s="16" t="s">
        <v>349</v>
      </c>
      <c r="B19" s="16" t="s">
        <v>308</v>
      </c>
      <c r="C19" s="20" t="s">
        <v>309</v>
      </c>
      <c r="D19" s="21" t="n">
        <v>21923</v>
      </c>
      <c r="E19" s="21" t="n">
        <v>1900</v>
      </c>
      <c r="F19" s="16"/>
      <c r="G19" s="32" t="n">
        <f aca="false">D19+E19</f>
        <v>23823</v>
      </c>
      <c r="H19" s="32" t="n">
        <f aca="false">G19/2</f>
        <v>11911.5</v>
      </c>
      <c r="I19" s="16" t="s">
        <v>353</v>
      </c>
    </row>
    <row r="20" customFormat="false" ht="15" hidden="false" customHeight="false" outlineLevel="0" collapsed="false">
      <c r="A20" s="16" t="s">
        <v>354</v>
      </c>
      <c r="B20" s="16" t="s">
        <v>59</v>
      </c>
      <c r="C20" s="20" t="s">
        <v>355</v>
      </c>
      <c r="D20" s="21" t="n">
        <v>53877</v>
      </c>
      <c r="E20" s="21" t="n">
        <v>0</v>
      </c>
      <c r="F20" s="16"/>
      <c r="G20" s="32" t="n">
        <f aca="false">D20+E20</f>
        <v>53877</v>
      </c>
      <c r="H20" s="32" t="n">
        <f aca="false">G20/2</f>
        <v>26938.5</v>
      </c>
      <c r="I20" s="16" t="s">
        <v>356</v>
      </c>
    </row>
    <row r="21" customFormat="false" ht="15" hidden="false" customHeight="false" outlineLevel="0" collapsed="false">
      <c r="A21" s="16" t="s">
        <v>357</v>
      </c>
      <c r="B21" s="16" t="s">
        <v>59</v>
      </c>
      <c r="C21" s="20" t="s">
        <v>63</v>
      </c>
      <c r="D21" s="21" t="n">
        <v>69051</v>
      </c>
      <c r="E21" s="21" t="n">
        <v>0</v>
      </c>
      <c r="F21" s="16"/>
      <c r="G21" s="32" t="n">
        <f aca="false">D21+E21</f>
        <v>69051</v>
      </c>
      <c r="H21" s="32" t="n">
        <f aca="false">G21/2</f>
        <v>34525.5</v>
      </c>
      <c r="I21" s="16" t="s">
        <v>296</v>
      </c>
    </row>
    <row r="22" customFormat="false" ht="15" hidden="false" customHeight="false" outlineLevel="0" collapsed="false">
      <c r="A22" s="16" t="s">
        <v>358</v>
      </c>
      <c r="B22" s="16" t="s">
        <v>76</v>
      </c>
      <c r="C22" s="20" t="s">
        <v>78</v>
      </c>
      <c r="D22" s="21" t="n">
        <v>20764</v>
      </c>
      <c r="E22" s="21" t="n">
        <v>2000</v>
      </c>
      <c r="F22" s="16"/>
      <c r="G22" s="32" t="n">
        <f aca="false">D22+E22</f>
        <v>22764</v>
      </c>
      <c r="H22" s="32" t="n">
        <f aca="false">G22/2</f>
        <v>11382</v>
      </c>
      <c r="I22" s="16" t="s">
        <v>359</v>
      </c>
    </row>
    <row r="23" customFormat="false" ht="15" hidden="false" customHeight="false" outlineLevel="0" collapsed="false">
      <c r="A23" s="16" t="s">
        <v>360</v>
      </c>
      <c r="B23" s="16" t="s">
        <v>76</v>
      </c>
      <c r="C23" s="20" t="s">
        <v>81</v>
      </c>
      <c r="D23" s="21" t="n">
        <v>21680</v>
      </c>
      <c r="E23" s="21" t="n">
        <v>2000</v>
      </c>
      <c r="F23" s="16"/>
      <c r="G23" s="32" t="n">
        <f aca="false">D23+E23</f>
        <v>23680</v>
      </c>
      <c r="H23" s="32" t="n">
        <f aca="false">G23/2</f>
        <v>11840</v>
      </c>
      <c r="I23" s="16" t="s">
        <v>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46"/>
  </cols>
  <sheetData>
    <row r="1" customFormat="false" ht="17.15" hidden="false" customHeight="false" outlineLevel="0" collapsed="false">
      <c r="A1" s="25" t="s">
        <v>361</v>
      </c>
    </row>
    <row r="2" customFormat="false" ht="15" hidden="false" customHeight="false" outlineLevel="0" collapsed="false">
      <c r="A2" s="2" t="s">
        <v>362</v>
      </c>
    </row>
    <row r="4" customFormat="false" ht="15" hidden="false" customHeight="false" outlineLevel="0" collapsed="false">
      <c r="A4" s="8" t="s">
        <v>11</v>
      </c>
      <c r="B4" s="8" t="s">
        <v>135</v>
      </c>
      <c r="C4" s="8" t="s">
        <v>136</v>
      </c>
      <c r="D4" s="8" t="s">
        <v>137</v>
      </c>
      <c r="E4" s="8" t="s">
        <v>200</v>
      </c>
    </row>
    <row r="5" customFormat="false" ht="15" hidden="false" customHeight="false" outlineLevel="0" collapsed="false">
      <c r="A5" s="34" t="s">
        <v>363</v>
      </c>
      <c r="B5" s="35" t="s">
        <v>364</v>
      </c>
      <c r="C5" s="36" t="s">
        <v>365</v>
      </c>
      <c r="D5" s="36" t="s">
        <v>366</v>
      </c>
      <c r="E5" s="36" t="s">
        <v>367</v>
      </c>
    </row>
    <row r="6" customFormat="false" ht="15" hidden="false" customHeight="false" outlineLevel="0" collapsed="false">
      <c r="A6" s="16"/>
      <c r="B6" s="20" t="s">
        <v>368</v>
      </c>
      <c r="C6" s="16" t="s">
        <v>369</v>
      </c>
      <c r="D6" s="16" t="s">
        <v>370</v>
      </c>
      <c r="E6" s="16" t="s">
        <v>371</v>
      </c>
    </row>
    <row r="7" customFormat="false" ht="15" hidden="false" customHeight="false" outlineLevel="0" collapsed="false">
      <c r="A7" s="16"/>
      <c r="B7" s="20" t="s">
        <v>147</v>
      </c>
      <c r="C7" s="16" t="s">
        <v>372</v>
      </c>
      <c r="D7" s="16"/>
      <c r="E7" s="16" t="s">
        <v>373</v>
      </c>
    </row>
    <row r="8" customFormat="false" ht="15" hidden="false" customHeight="false" outlineLevel="0" collapsed="false">
      <c r="A8" s="16"/>
      <c r="B8" s="20" t="s">
        <v>374</v>
      </c>
      <c r="C8" s="16" t="s">
        <v>375</v>
      </c>
      <c r="D8" s="16" t="s">
        <v>376</v>
      </c>
      <c r="E8" s="16" t="s">
        <v>377</v>
      </c>
    </row>
    <row r="9" customFormat="false" ht="15" hidden="false" customHeight="false" outlineLevel="0" collapsed="false">
      <c r="A9" s="16"/>
      <c r="B9" s="20" t="s">
        <v>378</v>
      </c>
      <c r="C9" s="16" t="s">
        <v>379</v>
      </c>
      <c r="D9" s="16"/>
      <c r="E9" s="16" t="s">
        <v>380</v>
      </c>
    </row>
    <row r="10" customFormat="false" ht="15" hidden="false" customHeight="false" outlineLevel="0" collapsed="false">
      <c r="A10" s="16"/>
      <c r="B10" s="20" t="s">
        <v>381</v>
      </c>
      <c r="C10" s="16" t="s">
        <v>382</v>
      </c>
      <c r="D10" s="16" t="s">
        <v>383</v>
      </c>
      <c r="E10" s="16" t="s">
        <v>384</v>
      </c>
    </row>
    <row r="11" customFormat="false" ht="15" hidden="false" customHeight="false" outlineLevel="0" collapsed="false">
      <c r="A11" s="16"/>
      <c r="B11" s="20" t="s">
        <v>385</v>
      </c>
      <c r="C11" s="16" t="s">
        <v>386</v>
      </c>
      <c r="D11" s="16"/>
      <c r="E11" s="16" t="s">
        <v>387</v>
      </c>
    </row>
    <row r="12" customFormat="false" ht="26.85" hidden="false" customHeight="false" outlineLevel="0" collapsed="false">
      <c r="A12" s="34" t="s">
        <v>139</v>
      </c>
      <c r="B12" s="35" t="s">
        <v>155</v>
      </c>
      <c r="C12" s="36" t="s">
        <v>388</v>
      </c>
      <c r="D12" s="35" t="s">
        <v>389</v>
      </c>
      <c r="E12" s="36" t="s">
        <v>390</v>
      </c>
    </row>
    <row r="13" customFormat="false" ht="15" hidden="false" customHeight="false" outlineLevel="0" collapsed="false">
      <c r="A13" s="16"/>
      <c r="B13" s="20" t="s">
        <v>391</v>
      </c>
      <c r="C13" s="16" t="s">
        <v>392</v>
      </c>
      <c r="D13" s="16"/>
      <c r="E13" s="16" t="s">
        <v>393</v>
      </c>
    </row>
    <row r="14" customFormat="false" ht="15" hidden="false" customHeight="false" outlineLevel="0" collapsed="false">
      <c r="A14" s="16"/>
      <c r="B14" s="20" t="s">
        <v>394</v>
      </c>
      <c r="C14" s="16" t="s">
        <v>395</v>
      </c>
      <c r="D14" s="16"/>
      <c r="E14" s="16"/>
    </row>
    <row r="15" customFormat="false" ht="15" hidden="false" customHeight="false" outlineLevel="0" collapsed="false">
      <c r="A15" s="16"/>
      <c r="B15" s="20" t="s">
        <v>396</v>
      </c>
      <c r="C15" s="16" t="s">
        <v>397</v>
      </c>
      <c r="D15" s="20" t="s">
        <v>398</v>
      </c>
      <c r="E15" s="16"/>
    </row>
    <row r="16" customFormat="false" ht="15" hidden="false" customHeight="false" outlineLevel="0" collapsed="false">
      <c r="A16" s="16"/>
      <c r="B16" s="20" t="s">
        <v>378</v>
      </c>
      <c r="C16" s="16" t="s">
        <v>151</v>
      </c>
      <c r="D16" s="16" t="s">
        <v>152</v>
      </c>
      <c r="E16" s="16" t="s">
        <v>399</v>
      </c>
    </row>
    <row r="17" customFormat="false" ht="15" hidden="false" customHeight="false" outlineLevel="0" collapsed="false">
      <c r="A17" s="16"/>
      <c r="B17" s="20" t="s">
        <v>180</v>
      </c>
      <c r="C17" s="16" t="s">
        <v>400</v>
      </c>
      <c r="D17" s="16"/>
      <c r="E17" s="16" t="s">
        <v>401</v>
      </c>
    </row>
    <row r="18" customFormat="false" ht="15" hidden="false" customHeight="false" outlineLevel="0" collapsed="false">
      <c r="A18" s="16"/>
      <c r="B18" s="20" t="s">
        <v>385</v>
      </c>
      <c r="C18" s="16" t="s">
        <v>402</v>
      </c>
      <c r="D18" s="16" t="s">
        <v>403</v>
      </c>
      <c r="E18" s="16" t="s">
        <v>404</v>
      </c>
    </row>
    <row r="19" customFormat="false" ht="15" hidden="false" customHeight="false" outlineLevel="0" collapsed="false">
      <c r="A19" s="34" t="s">
        <v>154</v>
      </c>
      <c r="B19" s="35" t="s">
        <v>155</v>
      </c>
      <c r="C19" s="36" t="s">
        <v>405</v>
      </c>
      <c r="D19" s="36" t="s">
        <v>406</v>
      </c>
      <c r="E19" s="36" t="s">
        <v>407</v>
      </c>
    </row>
    <row r="20" customFormat="false" ht="15" hidden="false" customHeight="false" outlineLevel="0" collapsed="false">
      <c r="A20" s="16"/>
      <c r="B20" s="20" t="s">
        <v>394</v>
      </c>
      <c r="C20" s="16" t="s">
        <v>408</v>
      </c>
      <c r="D20" s="16"/>
      <c r="E20" s="16"/>
    </row>
    <row r="21" customFormat="false" ht="15" hidden="false" customHeight="false" outlineLevel="0" collapsed="false">
      <c r="A21" s="16"/>
      <c r="B21" s="20" t="s">
        <v>409</v>
      </c>
      <c r="C21" s="16" t="s">
        <v>410</v>
      </c>
      <c r="D21" s="16" t="s">
        <v>152</v>
      </c>
      <c r="E21" s="16"/>
    </row>
    <row r="22" customFormat="false" ht="15" hidden="false" customHeight="false" outlineLevel="0" collapsed="false">
      <c r="A22" s="16"/>
      <c r="B22" s="20" t="s">
        <v>381</v>
      </c>
      <c r="C22" s="16" t="s">
        <v>411</v>
      </c>
      <c r="D22" s="16" t="s">
        <v>412</v>
      </c>
      <c r="E22" s="16" t="s">
        <v>413</v>
      </c>
    </row>
    <row r="23" customFormat="false" ht="15" hidden="false" customHeight="false" outlineLevel="0" collapsed="false">
      <c r="A23" s="16"/>
      <c r="B23" s="20" t="s">
        <v>385</v>
      </c>
      <c r="C23" s="16" t="s">
        <v>414</v>
      </c>
      <c r="D23" s="16"/>
      <c r="E23" s="16" t="s">
        <v>164</v>
      </c>
    </row>
    <row r="24" customFormat="false" ht="15" hidden="false" customHeight="false" outlineLevel="0" collapsed="false">
      <c r="A24" s="34" t="s">
        <v>165</v>
      </c>
      <c r="B24" s="35" t="s">
        <v>415</v>
      </c>
      <c r="C24" s="36" t="s">
        <v>416</v>
      </c>
      <c r="D24" s="36"/>
      <c r="E24" s="36" t="s">
        <v>417</v>
      </c>
    </row>
    <row r="25" customFormat="false" ht="26.85" hidden="false" customHeight="false" outlineLevel="0" collapsed="false">
      <c r="A25" s="16"/>
      <c r="B25" s="20" t="s">
        <v>418</v>
      </c>
      <c r="C25" s="16" t="s">
        <v>167</v>
      </c>
      <c r="D25" s="20" t="s">
        <v>419</v>
      </c>
      <c r="E25" s="16"/>
    </row>
    <row r="26" customFormat="false" ht="15" hidden="false" customHeight="false" outlineLevel="0" collapsed="false">
      <c r="A26" s="16"/>
      <c r="B26" s="20" t="s">
        <v>409</v>
      </c>
      <c r="C26" s="16" t="s">
        <v>420</v>
      </c>
      <c r="D26" s="16" t="s">
        <v>421</v>
      </c>
      <c r="E26" s="16" t="s">
        <v>422</v>
      </c>
    </row>
    <row r="27" customFormat="false" ht="15" hidden="false" customHeight="false" outlineLevel="0" collapsed="false">
      <c r="A27" s="12"/>
      <c r="B27" s="27" t="s">
        <v>381</v>
      </c>
      <c r="C27" s="12" t="s">
        <v>423</v>
      </c>
      <c r="D27" s="12"/>
      <c r="E27" s="12" t="s">
        <v>424</v>
      </c>
    </row>
    <row r="28" customFormat="false" ht="15" hidden="false" customHeight="false" outlineLevel="0" collapsed="false">
      <c r="A28" s="16"/>
      <c r="B28" s="20" t="s">
        <v>425</v>
      </c>
      <c r="C28" s="16" t="s">
        <v>426</v>
      </c>
      <c r="D28" s="16"/>
      <c r="E28" s="16" t="s">
        <v>427</v>
      </c>
    </row>
    <row r="29" customFormat="false" ht="15" hidden="false" customHeight="false" outlineLevel="0" collapsed="false">
      <c r="A29" s="16"/>
      <c r="B29" s="20" t="s">
        <v>428</v>
      </c>
      <c r="C29" s="16" t="s">
        <v>429</v>
      </c>
      <c r="D29" s="16"/>
      <c r="E29" s="16"/>
    </row>
    <row r="30" customFormat="false" ht="15" hidden="false" customHeight="false" outlineLevel="0" collapsed="false">
      <c r="A30" s="16"/>
      <c r="B30" s="20" t="s">
        <v>430</v>
      </c>
      <c r="C30" s="16" t="s">
        <v>431</v>
      </c>
      <c r="D30" s="16"/>
      <c r="E30" s="16" t="s">
        <v>432</v>
      </c>
    </row>
    <row r="31" customFormat="false" ht="15" hidden="false" customHeight="false" outlineLevel="0" collapsed="false">
      <c r="A31" s="34" t="s">
        <v>173</v>
      </c>
      <c r="B31" s="35" t="s">
        <v>174</v>
      </c>
      <c r="C31" s="36" t="s">
        <v>175</v>
      </c>
      <c r="D31" s="36"/>
      <c r="E31" s="36" t="s">
        <v>433</v>
      </c>
    </row>
    <row r="32" customFormat="false" ht="15" hidden="false" customHeight="false" outlineLevel="0" collapsed="false">
      <c r="A32" s="16"/>
      <c r="B32" s="20" t="s">
        <v>434</v>
      </c>
      <c r="C32" s="16" t="s">
        <v>435</v>
      </c>
      <c r="D32" s="16"/>
      <c r="E32" s="16"/>
    </row>
    <row r="33" customFormat="false" ht="15" hidden="false" customHeight="false" outlineLevel="0" collapsed="false">
      <c r="A33" s="16"/>
      <c r="B33" s="20" t="s">
        <v>436</v>
      </c>
      <c r="C33" s="16" t="s">
        <v>437</v>
      </c>
      <c r="D33" s="16" t="s">
        <v>438</v>
      </c>
      <c r="E33" s="16"/>
    </row>
    <row r="34" customFormat="false" ht="25.35" hidden="false" customHeight="false" outlineLevel="0" collapsed="false">
      <c r="A34" s="16"/>
      <c r="B34" s="20" t="s">
        <v>439</v>
      </c>
      <c r="C34" s="16" t="s">
        <v>440</v>
      </c>
      <c r="D34" s="20" t="s">
        <v>441</v>
      </c>
      <c r="E34" s="16" t="s">
        <v>442</v>
      </c>
    </row>
    <row r="35" customFormat="false" ht="15" hidden="false" customHeight="false" outlineLevel="0" collapsed="false">
      <c r="A35" s="16"/>
      <c r="B35" s="20" t="s">
        <v>378</v>
      </c>
      <c r="C35" s="16" t="s">
        <v>443</v>
      </c>
      <c r="D35" s="16"/>
      <c r="E35" s="16"/>
    </row>
    <row r="36" customFormat="false" ht="15" hidden="false" customHeight="false" outlineLevel="0" collapsed="false">
      <c r="A36" s="16"/>
      <c r="B36" s="20" t="s">
        <v>381</v>
      </c>
      <c r="C36" s="16" t="s">
        <v>444</v>
      </c>
      <c r="D36" s="16"/>
      <c r="E36" s="16" t="s">
        <v>445</v>
      </c>
    </row>
    <row r="37" customFormat="false" ht="15" hidden="false" customHeight="false" outlineLevel="0" collapsed="false">
      <c r="A37" s="16"/>
      <c r="B37" s="20" t="s">
        <v>428</v>
      </c>
      <c r="C37" s="16" t="s">
        <v>446</v>
      </c>
      <c r="D37" s="16"/>
      <c r="E37" s="16" t="s">
        <v>447</v>
      </c>
    </row>
    <row r="38" customFormat="false" ht="15" hidden="false" customHeight="false" outlineLevel="0" collapsed="false">
      <c r="A38" s="34" t="s">
        <v>183</v>
      </c>
      <c r="B38" s="35" t="s">
        <v>434</v>
      </c>
      <c r="C38" s="36" t="s">
        <v>448</v>
      </c>
      <c r="D38" s="36"/>
      <c r="E38" s="36"/>
    </row>
    <row r="39" customFormat="false" ht="15" hidden="false" customHeight="false" outlineLevel="0" collapsed="false">
      <c r="A39" s="16"/>
      <c r="B39" s="20" t="s">
        <v>155</v>
      </c>
      <c r="C39" s="16" t="s">
        <v>449</v>
      </c>
      <c r="D39" s="20" t="s">
        <v>450</v>
      </c>
      <c r="E39" s="16"/>
    </row>
    <row r="40" customFormat="false" ht="15" hidden="false" customHeight="false" outlineLevel="0" collapsed="false">
      <c r="A40" s="16"/>
      <c r="B40" s="20" t="s">
        <v>451</v>
      </c>
      <c r="C40" s="16" t="s">
        <v>452</v>
      </c>
      <c r="D40" s="16" t="s">
        <v>453</v>
      </c>
      <c r="E40" s="16"/>
    </row>
    <row r="41" customFormat="false" ht="15" hidden="false" customHeight="false" outlineLevel="0" collapsed="false">
      <c r="A41" s="16"/>
      <c r="B41" s="20" t="s">
        <v>166</v>
      </c>
      <c r="C41" s="16" t="s">
        <v>454</v>
      </c>
      <c r="D41" s="16" t="s">
        <v>455</v>
      </c>
      <c r="E41" s="16"/>
    </row>
    <row r="42" customFormat="false" ht="15" hidden="false" customHeight="false" outlineLevel="0" collapsed="false">
      <c r="A42" s="16"/>
      <c r="B42" s="20" t="s">
        <v>394</v>
      </c>
      <c r="C42" s="16" t="s">
        <v>456</v>
      </c>
      <c r="D42" s="16"/>
      <c r="E42" s="16" t="s">
        <v>457</v>
      </c>
    </row>
    <row r="43" customFormat="false" ht="15" hidden="false" customHeight="false" outlineLevel="0" collapsed="false">
      <c r="A43" s="16"/>
      <c r="B43" s="20" t="s">
        <v>409</v>
      </c>
      <c r="C43" s="16" t="s">
        <v>458</v>
      </c>
      <c r="D43" s="20" t="s">
        <v>450</v>
      </c>
      <c r="E43" s="16"/>
    </row>
    <row r="44" customFormat="false" ht="15" hidden="false" customHeight="false" outlineLevel="0" collapsed="false">
      <c r="A44" s="16"/>
      <c r="B44" s="20" t="s">
        <v>459</v>
      </c>
      <c r="C44" s="16" t="s">
        <v>460</v>
      </c>
      <c r="D44" s="16" t="s">
        <v>376</v>
      </c>
      <c r="E44" s="16" t="s">
        <v>461</v>
      </c>
    </row>
    <row r="45" customFormat="false" ht="15" hidden="false" customHeight="false" outlineLevel="0" collapsed="false">
      <c r="A45" s="16"/>
      <c r="B45" s="20" t="s">
        <v>462</v>
      </c>
      <c r="C45" s="16" t="s">
        <v>463</v>
      </c>
      <c r="D45" s="16"/>
      <c r="E45" s="16" t="s">
        <v>464</v>
      </c>
    </row>
    <row r="46" customFormat="false" ht="26.85" hidden="false" customHeight="false" outlineLevel="0" collapsed="false">
      <c r="A46" s="16"/>
      <c r="B46" s="20" t="s">
        <v>465</v>
      </c>
      <c r="C46" s="16" t="s">
        <v>466</v>
      </c>
      <c r="D46" s="16" t="s">
        <v>467</v>
      </c>
      <c r="E46" s="16" t="s">
        <v>468</v>
      </c>
    </row>
    <row r="48" customFormat="false" ht="15" hidden="false" customHeight="false" outlineLevel="0" collapsed="false">
      <c r="A48" s="2" t="s">
        <v>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9" min="8" style="0" width="11"/>
    <col collapsed="false" customWidth="true" hidden="false" outlineLevel="0" max="11" min="10" style="0" width="12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52"/>
  </cols>
  <sheetData>
    <row r="1" customFormat="false" ht="16.15" hidden="false" customHeight="false" outlineLevel="0" collapsed="false">
      <c r="A1" s="25" t="s">
        <v>470</v>
      </c>
    </row>
    <row r="2" customFormat="false" ht="15" hidden="false" customHeight="false" outlineLevel="0" collapsed="false">
      <c r="A2" s="2" t="s">
        <v>471</v>
      </c>
    </row>
    <row r="4" customFormat="false" ht="26.85" hidden="false" customHeight="false" outlineLevel="0" collapsed="false">
      <c r="A4" s="8" t="s">
        <v>472</v>
      </c>
      <c r="B4" s="8" t="s">
        <v>29</v>
      </c>
      <c r="C4" s="8" t="s">
        <v>30</v>
      </c>
      <c r="D4" s="8" t="s">
        <v>473</v>
      </c>
      <c r="E4" s="8" t="s">
        <v>474</v>
      </c>
      <c r="F4" s="8" t="s">
        <v>475</v>
      </c>
      <c r="G4" s="8" t="s">
        <v>476</v>
      </c>
      <c r="H4" s="8" t="s">
        <v>477</v>
      </c>
      <c r="I4" s="8" t="s">
        <v>478</v>
      </c>
      <c r="J4" s="8" t="s">
        <v>479</v>
      </c>
      <c r="K4" s="8" t="s">
        <v>480</v>
      </c>
      <c r="L4" s="8" t="s">
        <v>481</v>
      </c>
      <c r="M4" s="8" t="s">
        <v>482</v>
      </c>
      <c r="N4" s="8" t="s">
        <v>483</v>
      </c>
      <c r="O4" s="8" t="s">
        <v>484</v>
      </c>
      <c r="P4" s="8" t="s">
        <v>485</v>
      </c>
    </row>
    <row r="5" customFormat="false" ht="26.85" hidden="false" customHeight="false" outlineLevel="0" collapsed="false">
      <c r="A5" s="20" t="s">
        <v>486</v>
      </c>
      <c r="B5" s="16" t="s">
        <v>487</v>
      </c>
      <c r="C5" s="16" t="s">
        <v>44</v>
      </c>
      <c r="D5" s="20" t="s">
        <v>488</v>
      </c>
      <c r="E5" s="20" t="s">
        <v>489</v>
      </c>
      <c r="F5" s="20" t="s">
        <v>490</v>
      </c>
      <c r="G5" s="16" t="s">
        <v>491</v>
      </c>
      <c r="H5" s="21" t="n">
        <v>4743</v>
      </c>
      <c r="I5" s="21" t="n">
        <v>9676</v>
      </c>
      <c r="J5" s="43"/>
      <c r="K5" s="43"/>
      <c r="L5" s="32" t="n">
        <f aca="false">IF(J5&gt;0,J5,H5)</f>
        <v>4743</v>
      </c>
      <c r="M5" s="32" t="n">
        <f aca="false">IF(K5&gt;0,K5,I5)</f>
        <v>9676</v>
      </c>
      <c r="N5" s="16" t="s">
        <v>492</v>
      </c>
      <c r="O5" s="21" t="n">
        <v>950</v>
      </c>
      <c r="P5" s="16" t="s">
        <v>493</v>
      </c>
    </row>
    <row r="6" customFormat="false" ht="26.85" hidden="false" customHeight="false" outlineLevel="0" collapsed="false">
      <c r="A6" s="20" t="s">
        <v>494</v>
      </c>
      <c r="B6" s="16" t="s">
        <v>487</v>
      </c>
      <c r="C6" s="16" t="s">
        <v>37</v>
      </c>
      <c r="D6" s="20" t="s">
        <v>495</v>
      </c>
      <c r="E6" s="20" t="s">
        <v>496</v>
      </c>
      <c r="F6" s="20" t="s">
        <v>497</v>
      </c>
      <c r="G6" s="16" t="s">
        <v>498</v>
      </c>
      <c r="H6" s="21" t="n">
        <v>9845</v>
      </c>
      <c r="I6" s="21" t="n">
        <v>17878</v>
      </c>
      <c r="J6" s="43"/>
      <c r="K6" s="43"/>
      <c r="L6" s="32" t="n">
        <f aca="false">IF(J6&gt;0,J6,H6)</f>
        <v>9845</v>
      </c>
      <c r="M6" s="32" t="n">
        <f aca="false">IF(K6&gt;0,K6,I6)</f>
        <v>17878</v>
      </c>
      <c r="N6" s="16" t="s">
        <v>499</v>
      </c>
      <c r="O6" s="21" t="n">
        <v>0</v>
      </c>
      <c r="P6" s="16" t="s">
        <v>500</v>
      </c>
    </row>
    <row r="7" customFormat="false" ht="15" hidden="false" customHeight="false" outlineLevel="0" collapsed="false">
      <c r="A7" s="20" t="s">
        <v>501</v>
      </c>
      <c r="B7" s="16" t="s">
        <v>487</v>
      </c>
      <c r="C7" s="16" t="s">
        <v>41</v>
      </c>
      <c r="D7" s="20" t="s">
        <v>502</v>
      </c>
      <c r="E7" s="20" t="s">
        <v>503</v>
      </c>
      <c r="F7" s="20" t="s">
        <v>504</v>
      </c>
      <c r="G7" s="16" t="s">
        <v>505</v>
      </c>
      <c r="H7" s="21" t="n">
        <v>9720</v>
      </c>
      <c r="I7" s="21" t="n">
        <v>19586</v>
      </c>
      <c r="J7" s="43"/>
      <c r="K7" s="43"/>
      <c r="L7" s="32" t="n">
        <f aca="false">IF(J7&gt;0,J7,H7)</f>
        <v>9720</v>
      </c>
      <c r="M7" s="32" t="n">
        <f aca="false">IF(K7&gt;0,K7,I7)</f>
        <v>19586</v>
      </c>
      <c r="N7" s="16" t="s">
        <v>499</v>
      </c>
      <c r="O7" s="21" t="n">
        <v>0</v>
      </c>
      <c r="P7" s="16" t="s">
        <v>506</v>
      </c>
    </row>
    <row r="8" customFormat="false" ht="26.85" hidden="false" customHeight="false" outlineLevel="0" collapsed="false">
      <c r="A8" s="20" t="s">
        <v>507</v>
      </c>
      <c r="B8" s="16" t="s">
        <v>508</v>
      </c>
      <c r="C8" s="16" t="s">
        <v>37</v>
      </c>
      <c r="D8" s="20" t="s">
        <v>509</v>
      </c>
      <c r="E8" s="20" t="s">
        <v>510</v>
      </c>
      <c r="F8" s="16" t="s">
        <v>511</v>
      </c>
      <c r="G8" s="16" t="s">
        <v>505</v>
      </c>
      <c r="H8" s="21" t="n">
        <v>10361</v>
      </c>
      <c r="I8" s="21" t="n">
        <v>16526</v>
      </c>
      <c r="J8" s="43"/>
      <c r="K8" s="43"/>
      <c r="L8" s="32" t="n">
        <f aca="false">IF(J8&gt;0,J8,H8)</f>
        <v>10361</v>
      </c>
      <c r="M8" s="32" t="n">
        <f aca="false">IF(K8&gt;0,K8,I8)</f>
        <v>16526</v>
      </c>
      <c r="N8" s="16" t="s">
        <v>499</v>
      </c>
      <c r="O8" s="21" t="n">
        <v>0</v>
      </c>
      <c r="P8" s="16" t="s">
        <v>512</v>
      </c>
    </row>
    <row r="9" customFormat="false" ht="26.85" hidden="false" customHeight="false" outlineLevel="0" collapsed="false">
      <c r="A9" s="20" t="s">
        <v>513</v>
      </c>
      <c r="B9" s="16" t="s">
        <v>508</v>
      </c>
      <c r="C9" s="16" t="s">
        <v>514</v>
      </c>
      <c r="D9" s="20" t="s">
        <v>515</v>
      </c>
      <c r="E9" s="20" t="s">
        <v>516</v>
      </c>
      <c r="F9" s="16" t="s">
        <v>511</v>
      </c>
      <c r="G9" s="16" t="s">
        <v>505</v>
      </c>
      <c r="H9" s="21" t="n">
        <v>10361</v>
      </c>
      <c r="I9" s="21" t="n">
        <v>16526</v>
      </c>
      <c r="J9" s="43"/>
      <c r="K9" s="43"/>
      <c r="L9" s="32" t="n">
        <f aca="false">IF(J9&gt;0,J9,H9)</f>
        <v>10361</v>
      </c>
      <c r="M9" s="32" t="n">
        <f aca="false">IF(K9&gt;0,K9,I9)</f>
        <v>16526</v>
      </c>
      <c r="N9" s="16" t="s">
        <v>499</v>
      </c>
      <c r="O9" s="21" t="n">
        <v>0</v>
      </c>
      <c r="P9" s="16" t="s">
        <v>517</v>
      </c>
    </row>
    <row r="10" customFormat="false" ht="26.85" hidden="false" customHeight="false" outlineLevel="0" collapsed="false">
      <c r="A10" s="20" t="s">
        <v>518</v>
      </c>
      <c r="B10" s="16" t="s">
        <v>508</v>
      </c>
      <c r="C10" s="16" t="s">
        <v>519</v>
      </c>
      <c r="D10" s="20" t="s">
        <v>520</v>
      </c>
      <c r="E10" s="20" t="s">
        <v>521</v>
      </c>
      <c r="F10" s="16" t="s">
        <v>511</v>
      </c>
      <c r="G10" s="16" t="s">
        <v>505</v>
      </c>
      <c r="H10" s="21" t="n">
        <v>10361</v>
      </c>
      <c r="I10" s="21" t="n">
        <v>16526</v>
      </c>
      <c r="J10" s="43"/>
      <c r="K10" s="43"/>
      <c r="L10" s="32" t="n">
        <f aca="false">IF(J10&gt;0,J10,H10)</f>
        <v>10361</v>
      </c>
      <c r="M10" s="32" t="n">
        <f aca="false">IF(K10&gt;0,K10,I10)</f>
        <v>16526</v>
      </c>
      <c r="N10" s="16" t="s">
        <v>499</v>
      </c>
      <c r="O10" s="21" t="n">
        <v>0</v>
      </c>
      <c r="P10" s="16" t="s">
        <v>517</v>
      </c>
    </row>
    <row r="11" customFormat="false" ht="26.85" hidden="false" customHeight="false" outlineLevel="0" collapsed="false">
      <c r="A11" s="20" t="s">
        <v>522</v>
      </c>
      <c r="B11" s="16" t="s">
        <v>508</v>
      </c>
      <c r="C11" s="16" t="s">
        <v>523</v>
      </c>
      <c r="D11" s="20" t="s">
        <v>524</v>
      </c>
      <c r="E11" s="20" t="s">
        <v>525</v>
      </c>
      <c r="F11" s="16" t="s">
        <v>511</v>
      </c>
      <c r="G11" s="16" t="s">
        <v>505</v>
      </c>
      <c r="H11" s="21" t="n">
        <v>10361</v>
      </c>
      <c r="I11" s="21" t="n">
        <v>16526</v>
      </c>
      <c r="J11" s="43"/>
      <c r="K11" s="43"/>
      <c r="L11" s="32" t="n">
        <f aca="false">IF(J11&gt;0,J11,H11)</f>
        <v>10361</v>
      </c>
      <c r="M11" s="32" t="n">
        <f aca="false">IF(K11&gt;0,K11,I11)</f>
        <v>16526</v>
      </c>
      <c r="N11" s="16" t="s">
        <v>499</v>
      </c>
      <c r="O11" s="21" t="n">
        <v>0</v>
      </c>
      <c r="P11" s="16" t="s">
        <v>517</v>
      </c>
    </row>
    <row r="12" customFormat="false" ht="26.85" hidden="false" customHeight="false" outlineLevel="0" collapsed="false">
      <c r="A12" s="20" t="s">
        <v>526</v>
      </c>
      <c r="B12" s="16" t="s">
        <v>527</v>
      </c>
      <c r="C12" s="16" t="s">
        <v>93</v>
      </c>
      <c r="D12" s="20" t="s">
        <v>528</v>
      </c>
      <c r="E12" s="16" t="s">
        <v>529</v>
      </c>
      <c r="F12" s="16" t="s">
        <v>529</v>
      </c>
      <c r="G12" s="16" t="s">
        <v>505</v>
      </c>
      <c r="H12" s="21" t="n">
        <v>5386</v>
      </c>
      <c r="I12" s="32" t="n">
        <f aca="false">H12*2</f>
        <v>10772</v>
      </c>
      <c r="J12" s="43"/>
      <c r="K12" s="43"/>
      <c r="L12" s="32" t="n">
        <f aca="false">IF(J12&gt;0,J12,H12)</f>
        <v>5386</v>
      </c>
      <c r="M12" s="32" t="n">
        <f aca="false">IF(K12&gt;0,K12,I12)</f>
        <v>10772</v>
      </c>
      <c r="N12" s="16" t="s">
        <v>492</v>
      </c>
      <c r="O12" s="21" t="n">
        <v>1000</v>
      </c>
      <c r="P12" s="16" t="s">
        <v>530</v>
      </c>
    </row>
    <row r="13" customFormat="false" ht="15" hidden="false" customHeight="false" outlineLevel="0" collapsed="false">
      <c r="A13" s="20" t="s">
        <v>531</v>
      </c>
      <c r="B13" s="16" t="s">
        <v>532</v>
      </c>
      <c r="C13" s="16" t="s">
        <v>533</v>
      </c>
      <c r="D13" s="20" t="s">
        <v>534</v>
      </c>
      <c r="E13" s="16" t="s">
        <v>529</v>
      </c>
      <c r="F13" s="16" t="s">
        <v>529</v>
      </c>
      <c r="G13" s="16" t="s">
        <v>505</v>
      </c>
      <c r="H13" s="21" t="n">
        <v>3748</v>
      </c>
      <c r="I13" s="32" t="n">
        <f aca="false">H13*2</f>
        <v>7496</v>
      </c>
      <c r="J13" s="43"/>
      <c r="K13" s="43"/>
      <c r="L13" s="32" t="n">
        <f aca="false">IF(J13&gt;0,J13,H13)</f>
        <v>3748</v>
      </c>
      <c r="M13" s="32" t="n">
        <f aca="false">IF(K13&gt;0,K13,I13)</f>
        <v>7496</v>
      </c>
      <c r="N13" s="16" t="s">
        <v>492</v>
      </c>
      <c r="O13" s="21" t="n">
        <v>1000</v>
      </c>
      <c r="P13" s="16" t="s">
        <v>535</v>
      </c>
    </row>
    <row r="14" customFormat="false" ht="15" hidden="false" customHeight="false" outlineLevel="0" collapsed="false">
      <c r="A14" s="20" t="s">
        <v>536</v>
      </c>
      <c r="B14" s="16" t="s">
        <v>527</v>
      </c>
      <c r="C14" s="16" t="s">
        <v>44</v>
      </c>
      <c r="D14" s="20" t="s">
        <v>537</v>
      </c>
      <c r="E14" s="16" t="s">
        <v>529</v>
      </c>
      <c r="F14" s="16" t="s">
        <v>529</v>
      </c>
      <c r="G14" s="16" t="s">
        <v>505</v>
      </c>
      <c r="H14" s="21" t="n">
        <v>6702</v>
      </c>
      <c r="I14" s="32" t="n">
        <f aca="false">H14*2</f>
        <v>13404</v>
      </c>
      <c r="J14" s="43"/>
      <c r="K14" s="43"/>
      <c r="L14" s="32" t="n">
        <f aca="false">IF(J14&gt;0,J14,H14)</f>
        <v>6702</v>
      </c>
      <c r="M14" s="32" t="n">
        <f aca="false">IF(K14&gt;0,K14,I14)</f>
        <v>13404</v>
      </c>
      <c r="N14" s="16" t="s">
        <v>492</v>
      </c>
      <c r="O14" s="21" t="n">
        <v>950</v>
      </c>
      <c r="P14" s="16" t="s">
        <v>538</v>
      </c>
    </row>
    <row r="16" customFormat="false" ht="15" hidden="false" customHeight="false" outlineLevel="0" collapsed="false">
      <c r="A16" s="2" t="s">
        <v>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6" min="5" style="0" width="2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44"/>
  </cols>
  <sheetData>
    <row r="1" customFormat="false" ht="16.15" hidden="false" customHeight="false" outlineLevel="0" collapsed="false">
      <c r="A1" s="25" t="s">
        <v>540</v>
      </c>
    </row>
    <row r="2" customFormat="false" ht="15" hidden="false" customHeight="false" outlineLevel="0" collapsed="false">
      <c r="A2" s="2" t="s">
        <v>541</v>
      </c>
    </row>
    <row r="4" customFormat="false" ht="26.85" hidden="false" customHeight="false" outlineLevel="0" collapsed="false">
      <c r="A4" s="8" t="s">
        <v>542</v>
      </c>
      <c r="B4" s="8" t="s">
        <v>10</v>
      </c>
      <c r="C4" s="8" t="s">
        <v>11</v>
      </c>
      <c r="D4" s="8" t="s">
        <v>12</v>
      </c>
      <c r="E4" s="8" t="s">
        <v>105</v>
      </c>
      <c r="F4" s="8" t="s">
        <v>107</v>
      </c>
      <c r="G4" s="8" t="s">
        <v>543</v>
      </c>
      <c r="H4" s="8" t="s">
        <v>220</v>
      </c>
      <c r="I4" s="8" t="s">
        <v>544</v>
      </c>
      <c r="J4" s="8" t="s">
        <v>545</v>
      </c>
      <c r="K4" s="8" t="s">
        <v>546</v>
      </c>
      <c r="L4" s="8" t="s">
        <v>547</v>
      </c>
      <c r="M4" s="8" t="s">
        <v>222</v>
      </c>
    </row>
    <row r="5" customFormat="false" ht="39.55" hidden="false" customHeight="false" outlineLevel="0" collapsed="false">
      <c r="A5" s="27" t="s">
        <v>548</v>
      </c>
      <c r="B5" s="26" t="s">
        <v>549</v>
      </c>
      <c r="C5" s="27" t="s">
        <v>550</v>
      </c>
      <c r="D5" s="44" t="n">
        <v>4</v>
      </c>
      <c r="E5" s="27" t="s">
        <v>551</v>
      </c>
      <c r="F5" s="27" t="s">
        <v>552</v>
      </c>
      <c r="G5" s="11" t="n">
        <f aca="false">機票價格!L6+機票價格!L5</f>
        <v>14588</v>
      </c>
      <c r="H5" s="11" t="n">
        <f aca="false">機票價格!O5</f>
        <v>950</v>
      </c>
      <c r="I5" s="29" t="n">
        <v>0</v>
      </c>
      <c r="J5" s="30" t="n">
        <f aca="false">I5*總覽!$B$5</f>
        <v>0</v>
      </c>
      <c r="K5" s="30" t="n">
        <f aca="false">G5+H5+J5</f>
        <v>15538</v>
      </c>
      <c r="L5" s="27" t="s">
        <v>553</v>
      </c>
      <c r="M5" s="12" t="s">
        <v>554</v>
      </c>
    </row>
    <row r="6" customFormat="false" ht="26.85" hidden="false" customHeight="false" outlineLevel="0" collapsed="false">
      <c r="A6" s="20" t="s">
        <v>555</v>
      </c>
      <c r="B6" s="16" t="s">
        <v>556</v>
      </c>
      <c r="C6" s="20" t="s">
        <v>550</v>
      </c>
      <c r="D6" s="45" t="n">
        <v>4</v>
      </c>
      <c r="E6" s="20" t="s">
        <v>557</v>
      </c>
      <c r="F6" s="20" t="s">
        <v>558</v>
      </c>
      <c r="G6" s="15" t="n">
        <f aca="false">機票價格!M5</f>
        <v>9676</v>
      </c>
      <c r="H6" s="15" t="n">
        <f aca="false">2*機票價格!O5</f>
        <v>1900</v>
      </c>
      <c r="I6" s="31" t="n">
        <v>0</v>
      </c>
      <c r="J6" s="32" t="n">
        <f aca="false">I6*總覽!$B$5</f>
        <v>0</v>
      </c>
      <c r="K6" s="32" t="n">
        <f aca="false">G6+H6+J6</f>
        <v>11576</v>
      </c>
      <c r="L6" s="20" t="s">
        <v>553</v>
      </c>
      <c r="M6" s="16" t="s">
        <v>559</v>
      </c>
    </row>
    <row r="7" customFormat="false" ht="15" hidden="false" customHeight="false" outlineLevel="0" collapsed="false">
      <c r="A7" s="20" t="s">
        <v>560</v>
      </c>
      <c r="B7" s="16" t="s">
        <v>561</v>
      </c>
      <c r="C7" s="20" t="s">
        <v>562</v>
      </c>
      <c r="D7" s="45" t="n">
        <v>3</v>
      </c>
      <c r="E7" s="20" t="s">
        <v>563</v>
      </c>
      <c r="F7" s="20" t="s">
        <v>558</v>
      </c>
      <c r="G7" s="15" t="n">
        <f aca="false">機票價格!L6+機票價格!L5</f>
        <v>14588</v>
      </c>
      <c r="H7" s="15" t="n">
        <f aca="false">機票價格!O5</f>
        <v>950</v>
      </c>
      <c r="I7" s="31" t="n">
        <v>0</v>
      </c>
      <c r="J7" s="32" t="n">
        <f aca="false">I7*總覽!$B$5</f>
        <v>0</v>
      </c>
      <c r="K7" s="32" t="n">
        <f aca="false">G7+H7+J7</f>
        <v>15538</v>
      </c>
      <c r="L7" s="20" t="s">
        <v>553</v>
      </c>
      <c r="M7" s="16" t="s">
        <v>564</v>
      </c>
    </row>
    <row r="8" customFormat="false" ht="15" hidden="false" customHeight="false" outlineLevel="0" collapsed="false">
      <c r="A8" s="20" t="s">
        <v>565</v>
      </c>
      <c r="B8" s="16" t="s">
        <v>566</v>
      </c>
      <c r="C8" s="20" t="s">
        <v>562</v>
      </c>
      <c r="D8" s="45" t="n">
        <v>3</v>
      </c>
      <c r="E8" s="20" t="s">
        <v>567</v>
      </c>
      <c r="F8" s="20" t="s">
        <v>568</v>
      </c>
      <c r="G8" s="15" t="n">
        <f aca="false">機票價格!M7</f>
        <v>19586</v>
      </c>
      <c r="H8" s="15" t="n">
        <f aca="false">2*機票價格!O7</f>
        <v>0</v>
      </c>
      <c r="I8" s="31" t="n">
        <v>0</v>
      </c>
      <c r="J8" s="32" t="n">
        <f aca="false">I8*總覽!$B$5</f>
        <v>0</v>
      </c>
      <c r="K8" s="32" t="n">
        <f aca="false">G8+H8+J8</f>
        <v>19586</v>
      </c>
      <c r="L8" s="20" t="s">
        <v>553</v>
      </c>
      <c r="M8" s="16" t="s">
        <v>569</v>
      </c>
    </row>
    <row r="9" customFormat="false" ht="26.85" hidden="false" customHeight="false" outlineLevel="0" collapsed="false">
      <c r="A9" s="20" t="s">
        <v>570</v>
      </c>
      <c r="B9" s="16" t="s">
        <v>571</v>
      </c>
      <c r="C9" s="20" t="s">
        <v>550</v>
      </c>
      <c r="D9" s="45" t="n">
        <v>4</v>
      </c>
      <c r="E9" s="20" t="s">
        <v>572</v>
      </c>
      <c r="F9" s="20" t="s">
        <v>573</v>
      </c>
      <c r="G9" s="15" t="n">
        <f aca="false">機票價格!M8</f>
        <v>16526</v>
      </c>
      <c r="H9" s="15" t="n">
        <f aca="false">2*機票價格!O8</f>
        <v>0</v>
      </c>
      <c r="I9" s="31" t="n">
        <f aca="false">2*(12580+500)-1690-680*2</f>
        <v>23110</v>
      </c>
      <c r="J9" s="32" t="n">
        <f aca="false">I9*總覽!$B$5</f>
        <v>4853.1</v>
      </c>
      <c r="K9" s="32" t="n">
        <f aca="false">G9+H9+J9</f>
        <v>21379.1</v>
      </c>
      <c r="L9" s="20" t="s">
        <v>574</v>
      </c>
      <c r="M9" s="16" t="s">
        <v>575</v>
      </c>
    </row>
    <row r="10" customFormat="false" ht="15" hidden="false" customHeight="false" outlineLevel="0" collapsed="false">
      <c r="A10" s="20" t="s">
        <v>576</v>
      </c>
      <c r="B10" s="16" t="s">
        <v>577</v>
      </c>
      <c r="C10" s="20" t="s">
        <v>550</v>
      </c>
      <c r="D10" s="45" t="n">
        <v>4</v>
      </c>
      <c r="E10" s="20" t="s">
        <v>557</v>
      </c>
      <c r="F10" s="20" t="s">
        <v>573</v>
      </c>
      <c r="G10" s="15" t="n">
        <f aca="false">機票價格!L5+機票價格!L8</f>
        <v>15104</v>
      </c>
      <c r="H10" s="15" t="n">
        <f aca="false">機票價格!O5</f>
        <v>950</v>
      </c>
      <c r="I10" s="31" t="n">
        <f aca="false">12580+500-1690-680</f>
        <v>10710</v>
      </c>
      <c r="J10" s="32" t="n">
        <f aca="false">I10*總覽!$B$5</f>
        <v>2249.1</v>
      </c>
      <c r="K10" s="32" t="n">
        <f aca="false">G10+H10+J10</f>
        <v>18303.1</v>
      </c>
      <c r="L10" s="20" t="s">
        <v>553</v>
      </c>
      <c r="M10" s="16" t="s">
        <v>578</v>
      </c>
    </row>
    <row r="11" customFormat="false" ht="15" hidden="false" customHeight="false" outlineLevel="0" collapsed="false">
      <c r="A11" s="20" t="s">
        <v>579</v>
      </c>
      <c r="B11" s="16" t="s">
        <v>580</v>
      </c>
      <c r="C11" s="20" t="s">
        <v>550</v>
      </c>
      <c r="D11" s="45" t="n">
        <v>4</v>
      </c>
      <c r="E11" s="16" t="s">
        <v>581</v>
      </c>
      <c r="F11" s="16" t="s">
        <v>582</v>
      </c>
      <c r="G11" s="15" t="n">
        <f aca="false">機票價格!M12</f>
        <v>10772</v>
      </c>
      <c r="H11" s="15" t="n">
        <f aca="false">2*機票價格!O12</f>
        <v>2000</v>
      </c>
      <c r="I11" s="31" t="n">
        <f aca="false">2*(12580+500)-1690-680*2</f>
        <v>23110</v>
      </c>
      <c r="J11" s="32" t="n">
        <f aca="false">I11*總覽!$B$5</f>
        <v>4853.1</v>
      </c>
      <c r="K11" s="32" t="n">
        <f aca="false">G11+H11+J11</f>
        <v>17625.1</v>
      </c>
      <c r="L11" s="20" t="s">
        <v>574</v>
      </c>
      <c r="M11" s="16" t="s">
        <v>583</v>
      </c>
    </row>
    <row r="13" customFormat="false" ht="15" hidden="false" customHeight="false" outlineLevel="0" collapsed="false">
      <c r="A13" s="3" t="s">
        <v>584</v>
      </c>
      <c r="C13" s="3" t="str">
        <f aca="false">INDEX(B5:B11,MATCH(MIN(K5:K11),K5:K11,0))</f>
        <v>虎航來回（最便宜）</v>
      </c>
      <c r="F13" s="18" t="n">
        <f aca="false">MIN(K5:K11)</f>
        <v>11576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0" min="10" style="0" width="36"/>
  </cols>
  <sheetData>
    <row r="1" customFormat="false" ht="16.15" hidden="false" customHeight="false" outlineLevel="0" collapsed="false">
      <c r="A1" s="25" t="s">
        <v>585</v>
      </c>
    </row>
    <row r="2" customFormat="false" ht="15" hidden="false" customHeight="false" outlineLevel="0" collapsed="false">
      <c r="A2" s="2" t="s">
        <v>586</v>
      </c>
    </row>
    <row r="4" customFormat="false" ht="26.85" hidden="false" customHeight="false" outlineLevel="0" collapsed="false">
      <c r="A4" s="8" t="s">
        <v>11</v>
      </c>
      <c r="B4" s="8" t="s">
        <v>136</v>
      </c>
      <c r="C4" s="8" t="s">
        <v>587</v>
      </c>
      <c r="D4" s="8" t="s">
        <v>588</v>
      </c>
      <c r="E4" s="8" t="s">
        <v>589</v>
      </c>
      <c r="F4" s="8" t="s">
        <v>590</v>
      </c>
      <c r="G4" s="8" t="s">
        <v>591</v>
      </c>
      <c r="H4" s="8" t="s">
        <v>592</v>
      </c>
      <c r="I4" s="8" t="s">
        <v>593</v>
      </c>
      <c r="J4" s="8" t="s">
        <v>200</v>
      </c>
    </row>
    <row r="5" customFormat="false" ht="26.85" hidden="false" customHeight="false" outlineLevel="0" collapsed="false">
      <c r="A5" s="20" t="s">
        <v>35</v>
      </c>
      <c r="B5" s="16" t="s">
        <v>594</v>
      </c>
      <c r="C5" s="16" t="s">
        <v>595</v>
      </c>
      <c r="D5" s="31" t="n">
        <v>1310</v>
      </c>
      <c r="E5" s="16" t="s">
        <v>596</v>
      </c>
      <c r="F5" s="31" t="n">
        <v>9000</v>
      </c>
      <c r="G5" s="31" t="n">
        <v>570</v>
      </c>
      <c r="H5" s="46" t="n">
        <f aca="false">D5+F5+G5</f>
        <v>10880</v>
      </c>
      <c r="I5" s="32" t="n">
        <f aca="false">H5*總覽!$B$5</f>
        <v>2284.8</v>
      </c>
      <c r="J5" s="47" t="s">
        <v>597</v>
      </c>
    </row>
    <row r="6" customFormat="false" ht="26.85" hidden="false" customHeight="false" outlineLevel="0" collapsed="false">
      <c r="A6" s="20" t="s">
        <v>47</v>
      </c>
      <c r="B6" s="16" t="s">
        <v>598</v>
      </c>
      <c r="C6" s="20" t="s">
        <v>599</v>
      </c>
      <c r="D6" s="31" t="n">
        <v>2300</v>
      </c>
      <c r="E6" s="16" t="s">
        <v>249</v>
      </c>
      <c r="F6" s="31" t="n">
        <v>20000</v>
      </c>
      <c r="G6" s="31" t="n">
        <v>0</v>
      </c>
      <c r="H6" s="46" t="n">
        <f aca="false">D6+F6+G6</f>
        <v>22300</v>
      </c>
      <c r="I6" s="32" t="n">
        <f aca="false">H6*總覽!$B$5</f>
        <v>4683</v>
      </c>
      <c r="J6" s="47" t="s">
        <v>600</v>
      </c>
    </row>
    <row r="7" customFormat="false" ht="15" hidden="false" customHeight="false" outlineLevel="0" collapsed="false">
      <c r="A7" s="20" t="s">
        <v>49</v>
      </c>
      <c r="B7" s="16" t="s">
        <v>601</v>
      </c>
      <c r="C7" s="16" t="s">
        <v>602</v>
      </c>
      <c r="D7" s="31" t="n">
        <v>1200</v>
      </c>
      <c r="E7" s="16" t="s">
        <v>603</v>
      </c>
      <c r="F7" s="31" t="n">
        <v>8000</v>
      </c>
      <c r="G7" s="31" t="n">
        <v>4400</v>
      </c>
      <c r="H7" s="46" t="n">
        <f aca="false">D7+F7+G7</f>
        <v>13600</v>
      </c>
      <c r="I7" s="32" t="n">
        <f aca="false">H7*總覽!$B$5</f>
        <v>2856</v>
      </c>
      <c r="J7" s="47" t="s">
        <v>604</v>
      </c>
    </row>
    <row r="8" customFormat="false" ht="26.85" hidden="false" customHeight="false" outlineLevel="0" collapsed="false">
      <c r="A8" s="20" t="s">
        <v>605</v>
      </c>
      <c r="B8" s="16" t="s">
        <v>606</v>
      </c>
      <c r="C8" s="20" t="s">
        <v>607</v>
      </c>
      <c r="D8" s="31" t="n">
        <v>1900</v>
      </c>
      <c r="E8" s="16" t="s">
        <v>608</v>
      </c>
      <c r="F8" s="48" t="n">
        <f aca="false">總覽!B7</f>
        <v>0</v>
      </c>
      <c r="G8" s="31" t="n">
        <v>0</v>
      </c>
      <c r="H8" s="46" t="n">
        <f aca="false">D8+F8+G8</f>
        <v>1900</v>
      </c>
      <c r="I8" s="32" t="n">
        <f aca="false">H8*總覽!$B$5</f>
        <v>399</v>
      </c>
      <c r="J8" s="49" t="s">
        <v>609</v>
      </c>
    </row>
    <row r="9" customFormat="false" ht="15" hidden="false" customHeight="false" outlineLevel="0" collapsed="false">
      <c r="A9" s="20" t="s">
        <v>66</v>
      </c>
      <c r="B9" s="16" t="s">
        <v>610</v>
      </c>
      <c r="C9" s="16" t="s">
        <v>611</v>
      </c>
      <c r="D9" s="31" t="n">
        <v>2690</v>
      </c>
      <c r="E9" s="16" t="s">
        <v>596</v>
      </c>
      <c r="F9" s="31" t="n">
        <v>9000</v>
      </c>
      <c r="G9" s="31" t="n">
        <v>0</v>
      </c>
      <c r="H9" s="46" t="n">
        <f aca="false">D9+F9+G9</f>
        <v>11690</v>
      </c>
      <c r="I9" s="32" t="n">
        <f aca="false">H9*總覽!$B$5</f>
        <v>2454.9</v>
      </c>
      <c r="J9" s="47"/>
    </row>
    <row r="10" customFormat="false" ht="26.85" hidden="false" customHeight="false" outlineLevel="0" collapsed="false">
      <c r="A10" s="20" t="s">
        <v>58</v>
      </c>
      <c r="B10" s="16" t="s">
        <v>612</v>
      </c>
      <c r="C10" s="20" t="s">
        <v>613</v>
      </c>
      <c r="D10" s="31" t="n">
        <v>1540</v>
      </c>
      <c r="E10" s="20" t="s">
        <v>64</v>
      </c>
      <c r="F10" s="31" t="n">
        <v>0</v>
      </c>
      <c r="G10" s="31" t="n">
        <v>2200</v>
      </c>
      <c r="H10" s="46" t="n">
        <f aca="false">D10+F10+G10</f>
        <v>3740</v>
      </c>
      <c r="I10" s="32" t="n">
        <f aca="false">H10*總覽!$B$5</f>
        <v>785.4</v>
      </c>
      <c r="J10" s="47" t="s">
        <v>614</v>
      </c>
    </row>
    <row r="11" customFormat="false" ht="15" hidden="false" customHeight="false" outlineLevel="0" collapsed="false">
      <c r="A11" s="50" t="s">
        <v>25</v>
      </c>
      <c r="B11" s="16"/>
      <c r="C11" s="16"/>
      <c r="D11" s="51" t="n">
        <f aca="false">SUM(D5:D10)</f>
        <v>10940</v>
      </c>
      <c r="E11" s="16"/>
      <c r="F11" s="51" t="n">
        <f aca="false">SUM(F5:F10)</f>
        <v>46000</v>
      </c>
      <c r="G11" s="51" t="n">
        <f aca="false">SUM(G5:G10)</f>
        <v>7170</v>
      </c>
      <c r="H11" s="51" t="n">
        <f aca="false">SUM(H5:H10)</f>
        <v>64110</v>
      </c>
      <c r="I11" s="52" t="n">
        <f aca="false">SUM(I5:I10)</f>
        <v>13463.1</v>
      </c>
      <c r="J11" s="16"/>
    </row>
    <row r="12" customFormat="false" ht="15" hidden="false" customHeight="false" outlineLevel="0" collapsed="false">
      <c r="A12" s="4" t="s">
        <v>615</v>
      </c>
      <c r="H12" s="53" t="n">
        <v>5000</v>
      </c>
      <c r="J12" s="2" t="s">
        <v>616</v>
      </c>
    </row>
    <row r="13" customFormat="false" ht="15" hidden="false" customHeight="false" outlineLevel="0" collapsed="false">
      <c r="A13" s="4" t="s">
        <v>617</v>
      </c>
      <c r="H13" s="54" t="n">
        <f aca="false">H12*6</f>
        <v>30000</v>
      </c>
      <c r="I13" s="55" t="n">
        <f aca="false">H13*總覽!$B$5</f>
        <v>6300</v>
      </c>
    </row>
    <row r="14" customFormat="false" ht="15" hidden="false" customHeight="false" outlineLevel="0" collapsed="false">
      <c r="A14" s="3" t="s">
        <v>618</v>
      </c>
      <c r="I14" s="18" t="n">
        <f aca="false">I11+I13</f>
        <v>19763.1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8" t="s">
        <v>619</v>
      </c>
      <c r="B1" s="8" t="s">
        <v>620</v>
      </c>
      <c r="C1" s="8" t="s">
        <v>621</v>
      </c>
      <c r="D1" s="8" t="s">
        <v>200</v>
      </c>
    </row>
    <row r="2" customFormat="false" ht="15" hidden="false" customHeight="false" outlineLevel="0" collapsed="false">
      <c r="A2" s="16" t="s">
        <v>622</v>
      </c>
      <c r="B2" s="20" t="s">
        <v>623</v>
      </c>
      <c r="C2" s="56" t="s">
        <v>624</v>
      </c>
      <c r="D2" s="16" t="s">
        <v>625</v>
      </c>
    </row>
    <row r="3" customFormat="false" ht="15" hidden="false" customHeight="false" outlineLevel="0" collapsed="false">
      <c r="A3" s="16" t="s">
        <v>626</v>
      </c>
      <c r="B3" s="20" t="s">
        <v>623</v>
      </c>
      <c r="C3" s="56" t="s">
        <v>624</v>
      </c>
      <c r="D3" s="16" t="s">
        <v>627</v>
      </c>
    </row>
    <row r="4" customFormat="false" ht="15" hidden="false" customHeight="false" outlineLevel="0" collapsed="false">
      <c r="A4" s="16" t="s">
        <v>628</v>
      </c>
      <c r="B4" s="20" t="s">
        <v>623</v>
      </c>
      <c r="C4" s="56" t="s">
        <v>624</v>
      </c>
      <c r="D4" s="16" t="s">
        <v>629</v>
      </c>
    </row>
    <row r="5" customFormat="false" ht="15" hidden="false" customHeight="false" outlineLevel="0" collapsed="false">
      <c r="A5" s="16" t="s">
        <v>630</v>
      </c>
      <c r="B5" s="20" t="s">
        <v>631</v>
      </c>
      <c r="C5" s="56" t="s">
        <v>624</v>
      </c>
      <c r="D5" s="16" t="s">
        <v>632</v>
      </c>
    </row>
    <row r="6" customFormat="false" ht="15" hidden="false" customHeight="false" outlineLevel="0" collapsed="false">
      <c r="A6" s="16" t="s">
        <v>633</v>
      </c>
      <c r="B6" s="20" t="s">
        <v>634</v>
      </c>
      <c r="C6" s="56" t="s">
        <v>624</v>
      </c>
      <c r="D6" s="16" t="s">
        <v>635</v>
      </c>
    </row>
    <row r="7" customFormat="false" ht="15" hidden="false" customHeight="false" outlineLevel="0" collapsed="false">
      <c r="A7" s="16" t="s">
        <v>636</v>
      </c>
      <c r="B7" s="20" t="s">
        <v>637</v>
      </c>
      <c r="C7" s="56" t="s">
        <v>624</v>
      </c>
      <c r="D7" s="20" t="s">
        <v>638</v>
      </c>
    </row>
    <row r="8" customFormat="false" ht="15" hidden="false" customHeight="false" outlineLevel="0" collapsed="false">
      <c r="A8" s="16" t="s">
        <v>639</v>
      </c>
      <c r="B8" s="16" t="s">
        <v>640</v>
      </c>
      <c r="C8" s="56" t="s">
        <v>624</v>
      </c>
      <c r="D8" s="16" t="s">
        <v>641</v>
      </c>
    </row>
  </sheetData>
  <dataValidations count="1">
    <dataValidation allowBlank="true" errorStyle="stop" operator="between" showDropDown="false" showErrorMessage="false" showInputMessage="false" sqref="C2:C8" type="list">
      <formula1>"未開始,進行中,完成"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8" t="s">
        <v>642</v>
      </c>
      <c r="B1" s="8" t="s">
        <v>643</v>
      </c>
    </row>
    <row r="2" customFormat="false" ht="14.15" hidden="false" customHeight="false" outlineLevel="0" collapsed="false">
      <c r="A2" s="4" t="s">
        <v>644</v>
      </c>
      <c r="B2" s="57" t="s">
        <v>645</v>
      </c>
    </row>
    <row r="3" customFormat="false" ht="14.15" hidden="false" customHeight="false" outlineLevel="0" collapsed="false">
      <c r="A3" s="4" t="s">
        <v>646</v>
      </c>
      <c r="B3" s="57" t="s">
        <v>647</v>
      </c>
    </row>
    <row r="4" customFormat="false" ht="14.15" hidden="false" customHeight="false" outlineLevel="0" collapsed="false">
      <c r="A4" s="58" t="s">
        <v>648</v>
      </c>
      <c r="B4" s="57" t="s">
        <v>649</v>
      </c>
    </row>
    <row r="5" customFormat="false" ht="14.15" hidden="false" customHeight="false" outlineLevel="0" collapsed="false">
      <c r="A5" s="58" t="s">
        <v>650</v>
      </c>
      <c r="B5" s="57" t="s">
        <v>651</v>
      </c>
    </row>
    <row r="6" customFormat="false" ht="14.15" hidden="false" customHeight="false" outlineLevel="0" collapsed="false">
      <c r="A6" s="58" t="s">
        <v>652</v>
      </c>
      <c r="B6" s="57" t="s">
        <v>653</v>
      </c>
    </row>
    <row r="7" customFormat="false" ht="14.15" hidden="false" customHeight="false" outlineLevel="0" collapsed="false">
      <c r="A7" s="58" t="s">
        <v>654</v>
      </c>
      <c r="B7" s="57" t="s">
        <v>655</v>
      </c>
    </row>
    <row r="8" customFormat="false" ht="14.15" hidden="false" customHeight="false" outlineLevel="0" collapsed="false">
      <c r="A8" s="58" t="s">
        <v>656</v>
      </c>
      <c r="B8" s="57" t="s">
        <v>657</v>
      </c>
    </row>
    <row r="9" customFormat="false" ht="15" hidden="false" customHeight="false" outlineLevel="0" collapsed="false">
      <c r="A9" s="4" t="s">
        <v>658</v>
      </c>
      <c r="B9" s="57" t="s">
        <v>659</v>
      </c>
    </row>
    <row r="10" customFormat="false" ht="14.15" hidden="false" customHeight="false" outlineLevel="0" collapsed="false">
      <c r="A10" s="58" t="s">
        <v>660</v>
      </c>
      <c r="B10" s="57" t="s">
        <v>661</v>
      </c>
    </row>
    <row r="11" customFormat="false" ht="14.15" hidden="false" customHeight="false" outlineLevel="0" collapsed="false">
      <c r="A11" s="58" t="s">
        <v>662</v>
      </c>
      <c r="B11" s="57" t="s">
        <v>663</v>
      </c>
    </row>
    <row r="12" customFormat="false" ht="15" hidden="false" customHeight="false" outlineLevel="0" collapsed="false">
      <c r="A12" s="4" t="s">
        <v>664</v>
      </c>
      <c r="B12" s="57" t="s">
        <v>665</v>
      </c>
    </row>
    <row r="13" customFormat="false" ht="15" hidden="false" customHeight="false" outlineLevel="0" collapsed="false">
      <c r="A13" s="4" t="s">
        <v>666</v>
      </c>
      <c r="B13" s="57" t="s">
        <v>667</v>
      </c>
    </row>
    <row r="14" customFormat="false" ht="15" hidden="false" customHeight="false" outlineLevel="0" collapsed="false">
      <c r="A14" s="4" t="s">
        <v>668</v>
      </c>
      <c r="B14" s="57" t="s">
        <v>669</v>
      </c>
    </row>
    <row r="15" customFormat="false" ht="15" hidden="false" customHeight="false" outlineLevel="0" collapsed="false">
      <c r="A15" s="4" t="s">
        <v>670</v>
      </c>
      <c r="B15" s="57" t="s">
        <v>671</v>
      </c>
    </row>
    <row r="16" customFormat="false" ht="15" hidden="false" customHeight="false" outlineLevel="0" collapsed="false">
      <c r="A16" s="4" t="s">
        <v>672</v>
      </c>
      <c r="B16" s="57" t="s">
        <v>673</v>
      </c>
    </row>
    <row r="17" customFormat="false" ht="14.15" hidden="false" customHeight="false" outlineLevel="0" collapsed="false">
      <c r="A17" s="4" t="s">
        <v>674</v>
      </c>
      <c r="B17" s="57" t="s">
        <v>675</v>
      </c>
    </row>
  </sheetData>
  <hyperlinks>
    <hyperlink ref="B2" r:id="rId1" display="https://www.starlux-airlines.com/flights/en/flights-from-taipei-to-sendai"/>
    <hyperlink ref="B3" r:id="rId2" display="https://flights.evaair.com/en/flights-from-taipei-to-sendai"/>
    <hyperlink ref="B4" r:id="rId3" display="https://www.google.com/travel/flights/flights-from-taipei-city-to-sendai.html"/>
    <hyperlink ref="B5" r:id="rId4" display="https://www.hotelscombined.com.tw/flight-routes/Taipei-City-Taiwan-Taoyuan-Intl-TPE/Sendai-SDJ.ksp"/>
    <hyperlink ref="B6" r:id="rId5" display="https://www.skyscanner.com.tw/flights/airline-flights-to-airport/sdj/eva-air-br/cheap-flights-with-eva-air-br-flights-to-sendai"/>
    <hyperlink ref="B7" r:id="rId6" display="https://www.trip.com/flights/airport-tsa-hnd/"/>
    <hyperlink ref="B8" r:id="rId7" display="https://www.expedia.com.tw/en/lp/flights/tsa/hnd/taipei-to-tokyo"/>
    <hyperlink ref="B9" r:id="rId8" display="https://www.haneda-tokyo.com/schedule/hnd-tsa-schedule.html"/>
    <hyperlink ref="B10" r:id="rId9" display="https://www.hotelscombined.com.tw/flight-routes/Taipei-City-Taiwan-Taoyuan-Intl-TPE/Tokyo-Haneda-HND.ksp"/>
    <hyperlink ref="B11" r:id="rId10" display="https://www.tw.kayak.com/%E8%88%AA%E7%8F%AD/%E5%8F%B0%E5%8C%97-TW1/%E6%9D%B1%E4%BA%AC-%E6%88%90%E7%94%B0%E5%9C%8B%E9%9A%9B%E6%A9%9F%E5%A0%B4-NRT"/>
    <hyperlink ref="B12" r:id="rId11" display="https://www.tigerairtw.com/zh-tw/ready-to-go/fees"/>
    <hyperlink ref="B13" r:id="rId12" display="https://ekitan.com/transit/shinkansen/section/sf-2590/st-737"/>
    <hyperlink ref="B14" r:id="rId13" display="https://tohoku.letsgojp.com/archives/739243/"/>
    <hyperlink ref="B15" r:id="rId14" display="https://travel.yamakobus.jp/zh-tw/timetable/routebus-yamagata-zaoline.html"/>
    <hyperlink ref="B16" r:id="rId15" display="https://twoslowbyron.com/zao_ropeway/"/>
    <hyperlink ref="B17" r:id="rId16" display="https://mimigo.tw/ginzan-onsen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2026-10-13T13:34:05Z</dcterms:created>
  <dc:creator>openpyxl</dc:creator>
  <dc:description/>
  <dc:language>en-US</dc:language>
  <cp:lastModifiedBy/>
  <dcterms:modified xsi:type="dcterms:W3CDTF">2026-10-13T13:34:05Z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