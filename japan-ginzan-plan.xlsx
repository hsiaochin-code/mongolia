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機票價格" sheetId="2" state="visible" r:id="rId4"/>
    <sheet name="方案比較" sheetId="3" state="visible" r:id="rId5"/>
    <sheet name="行程預算" sheetId="4" state="visible" r:id="rId6"/>
    <sheet name="待辦清單" sheetId="5" state="visible" r:id="rId7"/>
    <sheet name="資料來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<sst xmlns="http://schemas.openxmlformats.org/spreadsheetml/2006/main" count="308" uniqueCount="246">
  <si>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</si>
  <si>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</si>
  <si>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</si>
  <si>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</si>
  <si>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</si>
  <si>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</si>
  <si>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</si>
  <si>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</si>
  <si>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</si>
  <si>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</si>
  <si>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</si>
  <si>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</si>
  <si>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</si>
  <si>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</si>
  <si>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</si>
  <si>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</si>
  <si>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</si>
  <si>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</si>
  <si>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推薦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</si>
  <si>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</si>
  <si>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</si>
  <si>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r>
      <rPr>
        <b val="true"/>
        <sz val="10"/>
        <color rgb="FF000000"/>
        <rFont val="WenQuanYi Zen Hei"/>
        <family val="2"/>
      </rPr>
      <t xml:space="preserve">方案 </t>
    </r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全程預算（每人，新台幣）</t>
    </r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</si>
  <si>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</si>
  <si>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</si>
  <si>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</si>
  <si>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</si>
  <si>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</si>
  <si>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</si>
  <si>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</si>
  <si>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t xml:space="preserve">航線</t>
  </si>
  <si>
    <t xml:space="preserve">航空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</si>
  <si>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</si>
  <si>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</si>
  <si>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</si>
  <si>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</si>
  <si>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</si>
  <si>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</si>
  <si>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</si>
  <si>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</si>
  <si>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</si>
  <si>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</si>
  <si>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</si>
  <si>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</si>
  <si>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</si>
  <si>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</si>
  <si>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</si>
  <si>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台灣虎航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</si>
  <si>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</si>
  <si>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</si>
  <si>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</si>
  <si>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</si>
  <si>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</si>
  <si>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</si>
  <si>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</si>
  <si>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長榮航空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</si>
  <si>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</si>
  <si>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</si>
  <si>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</si>
  <si>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</si>
  <si>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</si>
  <si>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</si>
  <si>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</si>
  <si>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星宇航空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</si>
  <si>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</si>
  <si>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</si>
  <si>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</si>
  <si>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</si>
  <si>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</si>
  <si>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</si>
  <si>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</si>
  <si>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</si>
  <si>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</si>
  <si>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</si>
  <si>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</si>
  <si>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</si>
  <si>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</si>
  <si>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</si>
  <si>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</si>
  <si>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</si>
  <si>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</si>
  <si>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</si>
  <si>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</si>
  <si>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</si>
  <si>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</si>
  <si>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</si>
  <si>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</si>
  <si>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</si>
  <si>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</si>
  <si>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</si>
  <si>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樂桃航空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</si>
  <si>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</si>
  <si>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</si>
  <si>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</si>
  <si>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</si>
  <si>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</si>
  <si>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</si>
  <si>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</si>
  <si>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</si>
  <si>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</si>
  <si>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</si>
  <si>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</si>
  <si>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</si>
  <si>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</si>
  <si>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</si>
  <si>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</si>
  <si>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去程</t>
  </si>
  <si>
    <t xml:space="preserve">回程</t>
  </si>
  <si>
    <t xml:space="preserve">機票</t>
  </si>
  <si>
    <t xml:space="preserve">行李加購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</si>
  <si>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</si>
  <si>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</si>
  <si>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</si>
  <si>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</si>
  <si>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說明</t>
  </si>
  <si>
    <t xml:space="preserve">A</t>
  </si>
  <si>
    <t xml:space="preserve">虎航來回（推薦）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</si>
  <si>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</si>
  <si>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</si>
  <si>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</si>
  <si>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</si>
  <si>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</si>
  <si>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</si>
  <si>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</si>
  <si>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</si>
  <si>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</si>
  <si>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</si>
  <si>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</si>
  <si>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</si>
  <si>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</si>
  <si>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</si>
  <si>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</si>
  <si>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</si>
  <si>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</si>
  <si>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</si>
  <si>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</si>
  <si>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</si>
  <si>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</si>
  <si>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</si>
  <si>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</si>
  <si>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</si>
  <si>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</si>
  <si>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</si>
  <si>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</si>
  <si>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</si>
  <si>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</si>
  <si>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</si>
  <si>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r>
      <rPr>
        <b val="true"/>
        <sz val="13"/>
        <color rgb="FF000000"/>
        <rFont val="WenQuanYi Zen Hei"/>
        <family val="2"/>
      </rPr>
      <t xml:space="preserve">方案 </t>
    </r>
    <r>
      <rPr>
        <b val="true"/>
        <sz val="13"/>
        <color rgb="FF000000"/>
        <rFont val="Arial"/>
        <family val="0"/>
        <charset val="1"/>
      </rPr>
      <t xml:space="preserve">A </t>
    </r>
    <r>
      <rPr>
        <b val="true"/>
        <sz val="13"/>
        <color rgb="FF000000"/>
        <rFont val="WenQuanYi Zen Hei"/>
        <family val="2"/>
      </rPr>
      <t xml:space="preserve">每日行程與當地花費（每人）</t>
    </r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</si>
  <si>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</si>
  <si>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行程</t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</si>
  <si>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</si>
  <si>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</si>
  <si>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</si>
  <si>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</si>
  <si>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</si>
  <si>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</si>
  <si>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</si>
  <si>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</si>
  <si>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</si>
  <si>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 → 仙台，晚餐吃牛舌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</si>
  <si>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IT254 13:45→18:10</t>
    </r>
    <r>
      <rPr>
        <sz val="10"/>
        <color rgb="FF000000"/>
        <rFont val="WenQuanYi Zen Hei"/>
        <family val="2"/>
      </rPr>
      <t xml:space="preserve">；仙台機場線到仙台站 </t>
    </r>
    <r>
      <rPr>
        <sz val="10"/>
        <color rgb="FF000000"/>
        <rFont val="Arial"/>
        <family val="0"/>
        <charset val="1"/>
      </rPr>
      <t xml:space="preserve">¥680</t>
    </r>
  </si>
  <si>
    <t xml:space="preserve">仙台站周邊</t>
  </si>
  <si>
    <r>
      <rPr>
        <sz val="10"/>
        <color rgb="FF5F7285"/>
        <rFont val="WenQuanYi Zen Hei"/>
        <family val="2"/>
      </rPr>
      <t xml:space="preserve">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</si>
  <si>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</si>
  <si>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</si>
  <si>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</si>
  <si>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t xml:space="preserve">藏王溫泉</t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</si>
  <si>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</si>
  <si>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</si>
  <si>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</si>
  <si>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</si>
  <si>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</si>
  <si>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</si>
  <si>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</si>
  <si>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</si>
  <si>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</si>
  <si>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</si>
  <si>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</si>
  <si>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</si>
  <si>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</si>
  <si>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</si>
  <si>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</si>
  <si>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松島 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</si>
  <si>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</si>
  <si>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t xml:space="preserve">—</t>
  </si>
  <si>
    <r>
      <rPr>
        <sz val="10"/>
        <color rgb="FF5F7285"/>
        <rFont val="WenQuanYi Zen Hei"/>
        <family val="2"/>
      </rPr>
      <t xml:space="preserve">松島遊覽船約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 </t>
    </r>
    <r>
      <rPr>
        <sz val="10"/>
        <color rgb="FF5F7285"/>
        <rFont val="WenQuanYi Zen Hei"/>
        <family val="2"/>
      </rPr>
      <t xml:space="preserve">起飛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</si>
  <si>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</si>
  <si>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</si>
  <si>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</si>
  <si>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</si>
  <si>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</si>
  <si>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</si>
  <si>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</si>
  <si>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到虎航官網查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去、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回的班次和價格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</si>
  <si>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</si>
  <si>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</si>
  <si>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月是否有二、日的班次；把價格填回「機票價格」</t>
    </r>
    <r>
      <rPr>
        <sz val="10"/>
        <color rgb="FF000000"/>
        <rFont val="Arial"/>
        <family val="0"/>
        <charset val="1"/>
      </rPr>
      <t xml:space="preserve">K5</t>
    </r>
  </si>
  <si>
    <t xml:space="preserve">查長榮／星宇單程價，比較分開買的組合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</si>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</sst>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F3E7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A 虎航來回（推薦）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11576</v>
      </c>
      <c r="E11" s="11" t="n">
        <f aca="false">方案比較!J5+3050*$B$5</f>
        <v>640.5</v>
      </c>
      <c r="F11" s="11" t="n">
        <f aca="false">D11+E11</f>
        <v>12216.5</v>
      </c>
      <c r="G11" s="11" t="n">
        <f aca="false">F11*$B$6</f>
        <v>12216.5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B 長榮去＋虎航回</v>
      </c>
      <c r="B12" s="13" t="str">
        <f aca="false">方案比較!C6</f>
        <v>1/27 三–1/31 日</v>
      </c>
      <c r="C12" s="14" t="n">
        <f aca="false">方案比較!D6</f>
        <v>3</v>
      </c>
      <c r="D12" s="15" t="n">
        <f aca="false">方案比較!G6+方案比較!H6</f>
        <v>15538</v>
      </c>
      <c r="E12" s="15" t="n">
        <f aca="false">方案比較!J6+3050*$B$5</f>
        <v>640.5</v>
      </c>
      <c r="F12" s="15" t="n">
        <f aca="false">D12+E12</f>
        <v>16178.5</v>
      </c>
      <c r="G12" s="15" t="n">
        <f aca="false">F12*$B$6</f>
        <v>16178.5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C 星宇來回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19586</v>
      </c>
      <c r="E13" s="15" t="n">
        <f aca="false">方案比較!J7+3050*$B$5</f>
        <v>640.5</v>
      </c>
      <c r="F13" s="15" t="n">
        <f aca="false">D13+E13</f>
        <v>20226.5</v>
      </c>
      <c r="G13" s="15" t="n">
        <f aca="false">F13*$B$6</f>
        <v>20226.5</v>
      </c>
      <c r="H13" s="16" t="s">
        <v>19</v>
      </c>
    </row>
    <row r="14" customFormat="false" ht="15" hidden="false" customHeight="false" outlineLevel="0" collapsed="false">
      <c r="A14" s="13" t="str">
        <f aca="false">方案比較!A8&amp;" "&amp;方案比較!B8</f>
        <v>D 松山⇄羽田來回（長榮）</v>
      </c>
      <c r="B14" s="13" t="str">
        <f aca="false">方案比較!C8</f>
        <v>1/26 二–1/31 日</v>
      </c>
      <c r="C14" s="14" t="n">
        <f aca="false">方案比較!D8</f>
        <v>4</v>
      </c>
      <c r="D14" s="15" t="n">
        <f aca="false">方案比較!G8+方案比較!H8</f>
        <v>16526</v>
      </c>
      <c r="E14" s="15" t="n">
        <f aca="false">方案比較!J8+3050*$B$5</f>
        <v>5493.6</v>
      </c>
      <c r="F14" s="15" t="n">
        <f aca="false">D14+E14</f>
        <v>22019.6</v>
      </c>
      <c r="G14" s="15" t="n">
        <f aca="false">F14*$B$6</f>
        <v>22019.6</v>
      </c>
      <c r="H14" s="16"/>
    </row>
    <row r="15" customFormat="false" ht="15" hidden="false" customHeight="false" outlineLevel="0" collapsed="false">
      <c r="A15" s="13" t="str">
        <f aca="false">方案比較!A9&amp;" "&amp;方案比較!B9</f>
        <v>E 開口：虎航去仙台＋羽田回松山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16054</v>
      </c>
      <c r="E15" s="15" t="n">
        <f aca="false">方案比較!J9+3050*$B$5</f>
        <v>2889.6</v>
      </c>
      <c r="F15" s="15" t="n">
        <f aca="false">D15+E15</f>
        <v>18943.6</v>
      </c>
      <c r="G15" s="15" t="n">
        <f aca="false">F15*$B$6</f>
        <v>18943.6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F 樂桃 桃園⇄羽田＋新幹線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12772</v>
      </c>
      <c r="E16" s="15" t="n">
        <f aca="false">方案比較!J10+3050*$B$5</f>
        <v>5493.6</v>
      </c>
      <c r="F16" s="15" t="n">
        <f aca="false">D16+E16</f>
        <v>18265.6</v>
      </c>
      <c r="G16" s="15" t="n">
        <f aca="false">F16*$B$6</f>
        <v>18265.6</v>
      </c>
      <c r="H16" s="16"/>
    </row>
    <row r="17" customFormat="false" ht="15" hidden="false" customHeight="false" outlineLevel="0" collapsed="false">
      <c r="A17" s="2" t="s">
        <v>20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4" t="s">
        <v>13</v>
      </c>
      <c r="B20" s="17" t="n">
        <f aca="false">D11</f>
        <v>11576</v>
      </c>
    </row>
    <row r="21" customFormat="false" ht="15" hidden="false" customHeight="false" outlineLevel="0" collapsed="false">
      <c r="A21" s="4" t="s">
        <v>22</v>
      </c>
      <c r="B21" s="17" t="n">
        <f aca="false">行程預算!I14</f>
        <v>19364.1</v>
      </c>
      <c r="C21" s="2" t="s">
        <v>23</v>
      </c>
    </row>
    <row r="22" customFormat="false" ht="15" hidden="false" customHeight="false" outlineLevel="0" collapsed="false">
      <c r="A22" s="3" t="s">
        <v>24</v>
      </c>
      <c r="B22" s="18" t="n">
        <f aca="false">B20+B21</f>
        <v>30940.1</v>
      </c>
    </row>
    <row r="23" customFormat="false" ht="15" hidden="false" customHeight="false" outlineLevel="0" collapsed="false">
      <c r="A23" s="3" t="s">
        <v>16</v>
      </c>
      <c r="B23" s="18" t="n">
        <f aca="false">B22*B6</f>
        <v>30940.1</v>
      </c>
    </row>
    <row r="25" customFormat="false" ht="15" hidden="false" customHeight="false" outlineLevel="0" collapsed="false">
      <c r="A25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19" t="s">
        <v>26</v>
      </c>
    </row>
    <row r="2" customFormat="false" ht="15" hidden="false" customHeight="false" outlineLevel="0" collapsed="false">
      <c r="A2" s="2" t="s">
        <v>27</v>
      </c>
    </row>
    <row r="4" customFormat="false" ht="26.85" hidden="false" customHeight="false" outlineLevel="0" collapsed="false">
      <c r="A4" s="8" t="s">
        <v>28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  <c r="H4" s="8" t="s">
        <v>35</v>
      </c>
      <c r="I4" s="8" t="s">
        <v>36</v>
      </c>
      <c r="J4" s="8" t="s">
        <v>37</v>
      </c>
      <c r="K4" s="8" t="s">
        <v>38</v>
      </c>
      <c r="L4" s="8" t="s">
        <v>39</v>
      </c>
      <c r="M4" s="8" t="s">
        <v>40</v>
      </c>
      <c r="N4" s="8" t="s">
        <v>41</v>
      </c>
      <c r="O4" s="8" t="s">
        <v>42</v>
      </c>
      <c r="P4" s="8" t="s">
        <v>43</v>
      </c>
    </row>
    <row r="5" customFormat="false" ht="26.85" hidden="false" customHeight="false" outlineLevel="0" collapsed="false">
      <c r="A5" s="20" t="s">
        <v>44</v>
      </c>
      <c r="B5" s="16" t="s">
        <v>45</v>
      </c>
      <c r="C5" s="16" t="s">
        <v>46</v>
      </c>
      <c r="D5" s="20" t="s">
        <v>47</v>
      </c>
      <c r="E5" s="20" t="s">
        <v>48</v>
      </c>
      <c r="F5" s="20" t="s">
        <v>49</v>
      </c>
      <c r="G5" s="16" t="s">
        <v>50</v>
      </c>
      <c r="H5" s="21" t="n">
        <v>4743</v>
      </c>
      <c r="I5" s="21" t="n">
        <v>9676</v>
      </c>
      <c r="J5" s="22"/>
      <c r="K5" s="22"/>
      <c r="L5" s="23" t="n">
        <f aca="false">IF(J5&gt;0,J5,H5)</f>
        <v>4743</v>
      </c>
      <c r="M5" s="23" t="n">
        <f aca="false">IF(K5&gt;0,K5,I5)</f>
        <v>9676</v>
      </c>
      <c r="N5" s="16" t="s">
        <v>51</v>
      </c>
      <c r="O5" s="21" t="n">
        <v>950</v>
      </c>
      <c r="P5" s="16" t="s">
        <v>52</v>
      </c>
    </row>
    <row r="6" customFormat="false" ht="26.85" hidden="false" customHeight="false" outlineLevel="0" collapsed="false">
      <c r="A6" s="20" t="s">
        <v>53</v>
      </c>
      <c r="B6" s="16" t="s">
        <v>45</v>
      </c>
      <c r="C6" s="16" t="s">
        <v>54</v>
      </c>
      <c r="D6" s="20" t="s">
        <v>55</v>
      </c>
      <c r="E6" s="20" t="s">
        <v>56</v>
      </c>
      <c r="F6" s="20" t="s">
        <v>57</v>
      </c>
      <c r="G6" s="16" t="s">
        <v>58</v>
      </c>
      <c r="H6" s="21" t="n">
        <v>9845</v>
      </c>
      <c r="I6" s="21" t="n">
        <v>17878</v>
      </c>
      <c r="J6" s="22"/>
      <c r="K6" s="22"/>
      <c r="L6" s="23" t="n">
        <f aca="false">IF(J6&gt;0,J6,H6)</f>
        <v>9845</v>
      </c>
      <c r="M6" s="23" t="n">
        <f aca="false">IF(K6&gt;0,K6,I6)</f>
        <v>17878</v>
      </c>
      <c r="N6" s="16" t="s">
        <v>59</v>
      </c>
      <c r="O6" s="21" t="n">
        <v>0</v>
      </c>
      <c r="P6" s="16" t="s">
        <v>60</v>
      </c>
    </row>
    <row r="7" customFormat="false" ht="15" hidden="false" customHeight="false" outlineLevel="0" collapsed="false">
      <c r="A7" s="20" t="s">
        <v>61</v>
      </c>
      <c r="B7" s="16" t="s">
        <v>45</v>
      </c>
      <c r="C7" s="16" t="s">
        <v>62</v>
      </c>
      <c r="D7" s="20" t="s">
        <v>63</v>
      </c>
      <c r="E7" s="20" t="s">
        <v>64</v>
      </c>
      <c r="F7" s="20" t="s">
        <v>65</v>
      </c>
      <c r="G7" s="16" t="s">
        <v>66</v>
      </c>
      <c r="H7" s="21" t="n">
        <v>9720</v>
      </c>
      <c r="I7" s="21" t="n">
        <v>19586</v>
      </c>
      <c r="J7" s="22"/>
      <c r="K7" s="22"/>
      <c r="L7" s="23" t="n">
        <f aca="false">IF(J7&gt;0,J7,H7)</f>
        <v>9720</v>
      </c>
      <c r="M7" s="23" t="n">
        <f aca="false">IF(K7&gt;0,K7,I7)</f>
        <v>19586</v>
      </c>
      <c r="N7" s="16" t="s">
        <v>59</v>
      </c>
      <c r="O7" s="21" t="n">
        <v>0</v>
      </c>
      <c r="P7" s="16" t="s">
        <v>67</v>
      </c>
    </row>
    <row r="8" customFormat="false" ht="26.85" hidden="false" customHeight="false" outlineLevel="0" collapsed="false">
      <c r="A8" s="20" t="s">
        <v>68</v>
      </c>
      <c r="B8" s="16" t="s">
        <v>69</v>
      </c>
      <c r="C8" s="16" t="s">
        <v>54</v>
      </c>
      <c r="D8" s="20" t="s">
        <v>70</v>
      </c>
      <c r="E8" s="20" t="s">
        <v>71</v>
      </c>
      <c r="F8" s="16" t="s">
        <v>72</v>
      </c>
      <c r="G8" s="16" t="s">
        <v>66</v>
      </c>
      <c r="H8" s="21" t="n">
        <v>10361</v>
      </c>
      <c r="I8" s="21" t="n">
        <v>16526</v>
      </c>
      <c r="J8" s="22"/>
      <c r="K8" s="22"/>
      <c r="L8" s="23" t="n">
        <f aca="false">IF(J8&gt;0,J8,H8)</f>
        <v>10361</v>
      </c>
      <c r="M8" s="23" t="n">
        <f aca="false">IF(K8&gt;0,K8,I8)</f>
        <v>16526</v>
      </c>
      <c r="N8" s="16" t="s">
        <v>59</v>
      </c>
      <c r="O8" s="21" t="n">
        <v>0</v>
      </c>
      <c r="P8" s="16" t="s">
        <v>73</v>
      </c>
    </row>
    <row r="9" customFormat="false" ht="26.85" hidden="false" customHeight="false" outlineLevel="0" collapsed="false">
      <c r="A9" s="20" t="s">
        <v>74</v>
      </c>
      <c r="B9" s="16" t="s">
        <v>69</v>
      </c>
      <c r="C9" s="16" t="s">
        <v>75</v>
      </c>
      <c r="D9" s="20" t="s">
        <v>76</v>
      </c>
      <c r="E9" s="20" t="s">
        <v>77</v>
      </c>
      <c r="F9" s="16" t="s">
        <v>72</v>
      </c>
      <c r="G9" s="16" t="s">
        <v>66</v>
      </c>
      <c r="H9" s="21" t="n">
        <v>10361</v>
      </c>
      <c r="I9" s="21" t="n">
        <v>16526</v>
      </c>
      <c r="J9" s="22"/>
      <c r="K9" s="22"/>
      <c r="L9" s="23" t="n">
        <f aca="false">IF(J9&gt;0,J9,H9)</f>
        <v>10361</v>
      </c>
      <c r="M9" s="23" t="n">
        <f aca="false">IF(K9&gt;0,K9,I9)</f>
        <v>16526</v>
      </c>
      <c r="N9" s="16" t="s">
        <v>59</v>
      </c>
      <c r="O9" s="21" t="n">
        <v>0</v>
      </c>
      <c r="P9" s="16" t="s">
        <v>78</v>
      </c>
    </row>
    <row r="10" customFormat="false" ht="26.85" hidden="false" customHeight="false" outlineLevel="0" collapsed="false">
      <c r="A10" s="20" t="s">
        <v>79</v>
      </c>
      <c r="B10" s="16" t="s">
        <v>69</v>
      </c>
      <c r="C10" s="16" t="s">
        <v>80</v>
      </c>
      <c r="D10" s="20" t="s">
        <v>81</v>
      </c>
      <c r="E10" s="20" t="s">
        <v>82</v>
      </c>
      <c r="F10" s="16" t="s">
        <v>72</v>
      </c>
      <c r="G10" s="16" t="s">
        <v>66</v>
      </c>
      <c r="H10" s="21" t="n">
        <v>10361</v>
      </c>
      <c r="I10" s="21" t="n">
        <v>16526</v>
      </c>
      <c r="J10" s="22"/>
      <c r="K10" s="22"/>
      <c r="L10" s="23" t="n">
        <f aca="false">IF(J10&gt;0,J10,H10)</f>
        <v>10361</v>
      </c>
      <c r="M10" s="23" t="n">
        <f aca="false">IF(K10&gt;0,K10,I10)</f>
        <v>16526</v>
      </c>
      <c r="N10" s="16" t="s">
        <v>59</v>
      </c>
      <c r="O10" s="21" t="n">
        <v>0</v>
      </c>
      <c r="P10" s="16" t="s">
        <v>78</v>
      </c>
    </row>
    <row r="11" customFormat="false" ht="26.85" hidden="false" customHeight="false" outlineLevel="0" collapsed="false">
      <c r="A11" s="20" t="s">
        <v>83</v>
      </c>
      <c r="B11" s="16" t="s">
        <v>69</v>
      </c>
      <c r="C11" s="16" t="s">
        <v>84</v>
      </c>
      <c r="D11" s="20" t="s">
        <v>85</v>
      </c>
      <c r="E11" s="20" t="s">
        <v>86</v>
      </c>
      <c r="F11" s="16" t="s">
        <v>72</v>
      </c>
      <c r="G11" s="16" t="s">
        <v>66</v>
      </c>
      <c r="H11" s="21" t="n">
        <v>10361</v>
      </c>
      <c r="I11" s="21" t="n">
        <v>16526</v>
      </c>
      <c r="J11" s="22"/>
      <c r="K11" s="22"/>
      <c r="L11" s="23" t="n">
        <f aca="false">IF(J11&gt;0,J11,H11)</f>
        <v>10361</v>
      </c>
      <c r="M11" s="23" t="n">
        <f aca="false">IF(K11&gt;0,K11,I11)</f>
        <v>16526</v>
      </c>
      <c r="N11" s="16" t="s">
        <v>59</v>
      </c>
      <c r="O11" s="21" t="n">
        <v>0</v>
      </c>
      <c r="P11" s="16" t="s">
        <v>78</v>
      </c>
    </row>
    <row r="12" customFormat="false" ht="26.85" hidden="false" customHeight="false" outlineLevel="0" collapsed="false">
      <c r="A12" s="20" t="s">
        <v>87</v>
      </c>
      <c r="B12" s="16" t="s">
        <v>88</v>
      </c>
      <c r="C12" s="16" t="s">
        <v>89</v>
      </c>
      <c r="D12" s="20" t="s">
        <v>90</v>
      </c>
      <c r="E12" s="16" t="s">
        <v>91</v>
      </c>
      <c r="F12" s="16" t="s">
        <v>91</v>
      </c>
      <c r="G12" s="16" t="s">
        <v>66</v>
      </c>
      <c r="H12" s="21" t="n">
        <v>5386</v>
      </c>
      <c r="I12" s="23" t="n">
        <f aca="false">H12*2</f>
        <v>10772</v>
      </c>
      <c r="J12" s="22"/>
      <c r="K12" s="22"/>
      <c r="L12" s="23" t="n">
        <f aca="false">IF(J12&gt;0,J12,H12)</f>
        <v>5386</v>
      </c>
      <c r="M12" s="23" t="n">
        <f aca="false">IF(K12&gt;0,K12,I12)</f>
        <v>10772</v>
      </c>
      <c r="N12" s="16" t="s">
        <v>51</v>
      </c>
      <c r="O12" s="21" t="n">
        <v>1000</v>
      </c>
      <c r="P12" s="16" t="s">
        <v>92</v>
      </c>
    </row>
    <row r="13" customFormat="false" ht="15" hidden="false" customHeight="false" outlineLevel="0" collapsed="false">
      <c r="A13" s="20" t="s">
        <v>93</v>
      </c>
      <c r="B13" s="16" t="s">
        <v>94</v>
      </c>
      <c r="C13" s="16" t="s">
        <v>95</v>
      </c>
      <c r="D13" s="20" t="s">
        <v>96</v>
      </c>
      <c r="E13" s="16" t="s">
        <v>91</v>
      </c>
      <c r="F13" s="16" t="s">
        <v>91</v>
      </c>
      <c r="G13" s="16" t="s">
        <v>66</v>
      </c>
      <c r="H13" s="21" t="n">
        <v>3748</v>
      </c>
      <c r="I13" s="23" t="n">
        <f aca="false">H13*2</f>
        <v>7496</v>
      </c>
      <c r="J13" s="22"/>
      <c r="K13" s="22"/>
      <c r="L13" s="23" t="n">
        <f aca="false">IF(J13&gt;0,J13,H13)</f>
        <v>3748</v>
      </c>
      <c r="M13" s="23" t="n">
        <f aca="false">IF(K13&gt;0,K13,I13)</f>
        <v>7496</v>
      </c>
      <c r="N13" s="16" t="s">
        <v>51</v>
      </c>
      <c r="O13" s="21" t="n">
        <v>1000</v>
      </c>
      <c r="P13" s="16" t="s">
        <v>97</v>
      </c>
    </row>
    <row r="14" customFormat="false" ht="15" hidden="false" customHeight="false" outlineLevel="0" collapsed="false">
      <c r="A14" s="20" t="s">
        <v>98</v>
      </c>
      <c r="B14" s="16" t="s">
        <v>88</v>
      </c>
      <c r="C14" s="16" t="s">
        <v>46</v>
      </c>
      <c r="D14" s="20" t="s">
        <v>99</v>
      </c>
      <c r="E14" s="16" t="s">
        <v>91</v>
      </c>
      <c r="F14" s="16" t="s">
        <v>91</v>
      </c>
      <c r="G14" s="16" t="s">
        <v>66</v>
      </c>
      <c r="H14" s="21" t="n">
        <v>6702</v>
      </c>
      <c r="I14" s="23" t="n">
        <f aca="false">H14*2</f>
        <v>13404</v>
      </c>
      <c r="J14" s="22"/>
      <c r="K14" s="22"/>
      <c r="L14" s="23" t="n">
        <f aca="false">IF(J14&gt;0,J14,H14)</f>
        <v>6702</v>
      </c>
      <c r="M14" s="23" t="n">
        <f aca="false">IF(K14&gt;0,K14,I14)</f>
        <v>13404</v>
      </c>
      <c r="N14" s="16" t="s">
        <v>51</v>
      </c>
      <c r="O14" s="21" t="n">
        <v>950</v>
      </c>
      <c r="P14" s="16" t="s">
        <v>100</v>
      </c>
    </row>
    <row r="16" customFormat="false" ht="15" hidden="false" customHeight="false" outlineLevel="0" collapsed="false">
      <c r="A16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19" t="s">
        <v>102</v>
      </c>
    </row>
    <row r="2" customFormat="false" ht="15" hidden="false" customHeight="false" outlineLevel="0" collapsed="false">
      <c r="A2" s="2" t="s">
        <v>103</v>
      </c>
    </row>
    <row r="4" customFormat="false" ht="26.85" hidden="false" customHeight="false" outlineLevel="0" collapsed="false">
      <c r="A4" s="8" t="s">
        <v>104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106</v>
      </c>
      <c r="G4" s="8" t="s">
        <v>107</v>
      </c>
      <c r="H4" s="8" t="s">
        <v>108</v>
      </c>
      <c r="I4" s="8" t="s">
        <v>109</v>
      </c>
      <c r="J4" s="8" t="s">
        <v>110</v>
      </c>
      <c r="K4" s="8" t="s">
        <v>111</v>
      </c>
      <c r="L4" s="8" t="s">
        <v>112</v>
      </c>
      <c r="M4" s="8" t="s">
        <v>113</v>
      </c>
    </row>
    <row r="5" customFormat="false" ht="26.85" hidden="false" customHeight="false" outlineLevel="0" collapsed="false">
      <c r="A5" s="24" t="s">
        <v>114</v>
      </c>
      <c r="B5" s="25" t="s">
        <v>115</v>
      </c>
      <c r="C5" s="24" t="s">
        <v>116</v>
      </c>
      <c r="D5" s="26" t="n">
        <v>4</v>
      </c>
      <c r="E5" s="24" t="s">
        <v>117</v>
      </c>
      <c r="F5" s="24" t="s">
        <v>118</v>
      </c>
      <c r="G5" s="11" t="n">
        <f aca="false">機票價格!M5</f>
        <v>9676</v>
      </c>
      <c r="H5" s="11" t="n">
        <f aca="false">2*機票價格!O5</f>
        <v>1900</v>
      </c>
      <c r="I5" s="27" t="n">
        <v>0</v>
      </c>
      <c r="J5" s="28" t="n">
        <f aca="false">I5*總覽!$B$5</f>
        <v>0</v>
      </c>
      <c r="K5" s="28" t="n">
        <f aca="false">G5+H5+J5</f>
        <v>11576</v>
      </c>
      <c r="L5" s="24" t="s">
        <v>119</v>
      </c>
      <c r="M5" s="12" t="s">
        <v>120</v>
      </c>
    </row>
    <row r="6" customFormat="false" ht="15" hidden="false" customHeight="false" outlineLevel="0" collapsed="false">
      <c r="A6" s="20" t="s">
        <v>121</v>
      </c>
      <c r="B6" s="16" t="s">
        <v>122</v>
      </c>
      <c r="C6" s="20" t="s">
        <v>123</v>
      </c>
      <c r="D6" s="29" t="n">
        <v>3</v>
      </c>
      <c r="E6" s="20" t="s">
        <v>124</v>
      </c>
      <c r="F6" s="20" t="s">
        <v>118</v>
      </c>
      <c r="G6" s="15" t="n">
        <f aca="false">機票價格!L6+機票價格!L5</f>
        <v>14588</v>
      </c>
      <c r="H6" s="15" t="n">
        <f aca="false">機票價格!O5</f>
        <v>950</v>
      </c>
      <c r="I6" s="30" t="n">
        <v>0</v>
      </c>
      <c r="J6" s="23" t="n">
        <f aca="false">I6*總覽!$B$5</f>
        <v>0</v>
      </c>
      <c r="K6" s="23" t="n">
        <f aca="false">G6+H6+J6</f>
        <v>15538</v>
      </c>
      <c r="L6" s="20" t="s">
        <v>119</v>
      </c>
      <c r="M6" s="16" t="s">
        <v>125</v>
      </c>
    </row>
    <row r="7" customFormat="false" ht="15" hidden="false" customHeight="false" outlineLevel="0" collapsed="false">
      <c r="A7" s="20" t="s">
        <v>126</v>
      </c>
      <c r="B7" s="16" t="s">
        <v>127</v>
      </c>
      <c r="C7" s="20" t="s">
        <v>123</v>
      </c>
      <c r="D7" s="29" t="n">
        <v>3</v>
      </c>
      <c r="E7" s="20" t="s">
        <v>128</v>
      </c>
      <c r="F7" s="20" t="s">
        <v>129</v>
      </c>
      <c r="G7" s="15" t="n">
        <f aca="false">機票價格!M7</f>
        <v>19586</v>
      </c>
      <c r="H7" s="15" t="n">
        <f aca="false">2*機票價格!O7</f>
        <v>0</v>
      </c>
      <c r="I7" s="30" t="n">
        <v>0</v>
      </c>
      <c r="J7" s="23" t="n">
        <f aca="false">I7*總覽!$B$5</f>
        <v>0</v>
      </c>
      <c r="K7" s="23" t="n">
        <f aca="false">G7+H7+J7</f>
        <v>19586</v>
      </c>
      <c r="L7" s="20" t="s">
        <v>119</v>
      </c>
      <c r="M7" s="16" t="s">
        <v>130</v>
      </c>
    </row>
    <row r="8" customFormat="false" ht="26.85" hidden="false" customHeight="false" outlineLevel="0" collapsed="false">
      <c r="A8" s="20" t="s">
        <v>131</v>
      </c>
      <c r="B8" s="16" t="s">
        <v>132</v>
      </c>
      <c r="C8" s="20" t="s">
        <v>116</v>
      </c>
      <c r="D8" s="29" t="n">
        <v>4</v>
      </c>
      <c r="E8" s="20" t="s">
        <v>133</v>
      </c>
      <c r="F8" s="20" t="s">
        <v>134</v>
      </c>
      <c r="G8" s="15" t="n">
        <f aca="false">機票價格!M8</f>
        <v>16526</v>
      </c>
      <c r="H8" s="15" t="n">
        <f aca="false">2*機票價格!O8</f>
        <v>0</v>
      </c>
      <c r="I8" s="30" t="n">
        <f aca="false">2*(12580+500)-1690-680*2</f>
        <v>23110</v>
      </c>
      <c r="J8" s="23" t="n">
        <f aca="false">I8*總覽!$B$5</f>
        <v>4853.1</v>
      </c>
      <c r="K8" s="23" t="n">
        <f aca="false">G8+H8+J8</f>
        <v>21379.1</v>
      </c>
      <c r="L8" s="20" t="s">
        <v>135</v>
      </c>
      <c r="M8" s="16" t="s">
        <v>136</v>
      </c>
    </row>
    <row r="9" customFormat="false" ht="15" hidden="false" customHeight="false" outlineLevel="0" collapsed="false">
      <c r="A9" s="20" t="s">
        <v>137</v>
      </c>
      <c r="B9" s="16" t="s">
        <v>138</v>
      </c>
      <c r="C9" s="20" t="s">
        <v>116</v>
      </c>
      <c r="D9" s="29" t="n">
        <v>4</v>
      </c>
      <c r="E9" s="20" t="s">
        <v>117</v>
      </c>
      <c r="F9" s="20" t="s">
        <v>134</v>
      </c>
      <c r="G9" s="15" t="n">
        <f aca="false">機票價格!L5+機票價格!L8</f>
        <v>15104</v>
      </c>
      <c r="H9" s="15" t="n">
        <f aca="false">機票價格!O5</f>
        <v>950</v>
      </c>
      <c r="I9" s="30" t="n">
        <f aca="false">12580+500-1690-680</f>
        <v>10710</v>
      </c>
      <c r="J9" s="23" t="n">
        <f aca="false">I9*總覽!$B$5</f>
        <v>2249.1</v>
      </c>
      <c r="K9" s="23" t="n">
        <f aca="false">G9+H9+J9</f>
        <v>18303.1</v>
      </c>
      <c r="L9" s="20" t="s">
        <v>119</v>
      </c>
      <c r="M9" s="16" t="s">
        <v>139</v>
      </c>
    </row>
    <row r="10" customFormat="false" ht="15" hidden="false" customHeight="false" outlineLevel="0" collapsed="false">
      <c r="A10" s="20" t="s">
        <v>140</v>
      </c>
      <c r="B10" s="16" t="s">
        <v>141</v>
      </c>
      <c r="C10" s="20" t="s">
        <v>116</v>
      </c>
      <c r="D10" s="29" t="n">
        <v>4</v>
      </c>
      <c r="E10" s="16" t="s">
        <v>142</v>
      </c>
      <c r="F10" s="16" t="s">
        <v>143</v>
      </c>
      <c r="G10" s="15" t="n">
        <f aca="false">機票價格!M12</f>
        <v>10772</v>
      </c>
      <c r="H10" s="15" t="n">
        <f aca="false">2*機票價格!O12</f>
        <v>2000</v>
      </c>
      <c r="I10" s="30" t="n">
        <f aca="false">2*(12580+500)-1690-680*2</f>
        <v>23110</v>
      </c>
      <c r="J10" s="23" t="n">
        <f aca="false">I10*總覽!$B$5</f>
        <v>4853.1</v>
      </c>
      <c r="K10" s="23" t="n">
        <f aca="false">G10+H10+J10</f>
        <v>17625.1</v>
      </c>
      <c r="L10" s="20" t="s">
        <v>135</v>
      </c>
      <c r="M10" s="16" t="s">
        <v>144</v>
      </c>
    </row>
    <row r="12" customFormat="false" ht="15" hidden="false" customHeight="false" outlineLevel="0" collapsed="false">
      <c r="A12" s="3" t="s">
        <v>145</v>
      </c>
      <c r="C12" s="3" t="str">
        <f aca="false">INDEX(B5:B10,MATCH(MIN(K5:K10),K5:K10,0))</f>
        <v>虎航來回（推薦）</v>
      </c>
      <c r="F12" s="18" t="n">
        <f aca="false">MIN(K5:K10)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7.15" hidden="false" customHeight="false" outlineLevel="0" collapsed="false">
      <c r="A1" s="19" t="s">
        <v>146</v>
      </c>
    </row>
    <row r="2" customFormat="false" ht="15" hidden="false" customHeight="false" outlineLevel="0" collapsed="false">
      <c r="A2" s="2" t="s">
        <v>147</v>
      </c>
    </row>
    <row r="4" customFormat="false" ht="26.85" hidden="false" customHeight="false" outlineLevel="0" collapsed="false">
      <c r="A4" s="8" t="s">
        <v>11</v>
      </c>
      <c r="B4" s="8" t="s">
        <v>148</v>
      </c>
      <c r="C4" s="8" t="s">
        <v>149</v>
      </c>
      <c r="D4" s="8" t="s">
        <v>150</v>
      </c>
      <c r="E4" s="8" t="s">
        <v>151</v>
      </c>
      <c r="F4" s="8" t="s">
        <v>152</v>
      </c>
      <c r="G4" s="8" t="s">
        <v>153</v>
      </c>
      <c r="H4" s="8" t="s">
        <v>154</v>
      </c>
      <c r="I4" s="8" t="s">
        <v>155</v>
      </c>
      <c r="J4" s="8" t="s">
        <v>156</v>
      </c>
    </row>
    <row r="5" customFormat="false" ht="15" hidden="false" customHeight="false" outlineLevel="0" collapsed="false">
      <c r="A5" s="20" t="s">
        <v>157</v>
      </c>
      <c r="B5" s="16" t="s">
        <v>158</v>
      </c>
      <c r="C5" s="16" t="s">
        <v>159</v>
      </c>
      <c r="D5" s="30" t="n">
        <v>680</v>
      </c>
      <c r="E5" s="16" t="s">
        <v>160</v>
      </c>
      <c r="F5" s="30" t="n">
        <v>9000</v>
      </c>
      <c r="G5" s="30" t="n">
        <v>0</v>
      </c>
      <c r="H5" s="31" t="n">
        <f aca="false">D5+F5+G5</f>
        <v>9680</v>
      </c>
      <c r="I5" s="23" t="n">
        <f aca="false">H5*總覽!$B$5</f>
        <v>2032.8</v>
      </c>
      <c r="J5" s="32" t="s">
        <v>161</v>
      </c>
    </row>
    <row r="6" customFormat="false" ht="26.85" hidden="false" customHeight="false" outlineLevel="0" collapsed="false">
      <c r="A6" s="20" t="s">
        <v>162</v>
      </c>
      <c r="B6" s="16" t="s">
        <v>163</v>
      </c>
      <c r="C6" s="20" t="s">
        <v>164</v>
      </c>
      <c r="D6" s="30" t="n">
        <v>2300</v>
      </c>
      <c r="E6" s="16" t="s">
        <v>165</v>
      </c>
      <c r="F6" s="30" t="n">
        <v>20000</v>
      </c>
      <c r="G6" s="30" t="n">
        <v>0</v>
      </c>
      <c r="H6" s="31" t="n">
        <f aca="false">D6+F6+G6</f>
        <v>22300</v>
      </c>
      <c r="I6" s="23" t="n">
        <f aca="false">H6*總覽!$B$5</f>
        <v>4683</v>
      </c>
      <c r="J6" s="32" t="s">
        <v>166</v>
      </c>
    </row>
    <row r="7" customFormat="false" ht="15" hidden="false" customHeight="false" outlineLevel="0" collapsed="false">
      <c r="A7" s="20" t="s">
        <v>167</v>
      </c>
      <c r="B7" s="16" t="s">
        <v>168</v>
      </c>
      <c r="C7" s="16" t="s">
        <v>169</v>
      </c>
      <c r="D7" s="30" t="n">
        <v>1200</v>
      </c>
      <c r="E7" s="16" t="s">
        <v>170</v>
      </c>
      <c r="F7" s="30" t="n">
        <v>8000</v>
      </c>
      <c r="G7" s="30" t="n">
        <v>4400</v>
      </c>
      <c r="H7" s="31" t="n">
        <f aca="false">D7+F7+G7</f>
        <v>13600</v>
      </c>
      <c r="I7" s="23" t="n">
        <f aca="false">H7*總覽!$B$5</f>
        <v>2856</v>
      </c>
      <c r="J7" s="32" t="s">
        <v>171</v>
      </c>
    </row>
    <row r="8" customFormat="false" ht="26.85" hidden="false" customHeight="false" outlineLevel="0" collapsed="false">
      <c r="A8" s="20" t="s">
        <v>172</v>
      </c>
      <c r="B8" s="16" t="s">
        <v>173</v>
      </c>
      <c r="C8" s="20" t="s">
        <v>174</v>
      </c>
      <c r="D8" s="30" t="n">
        <v>1900</v>
      </c>
      <c r="E8" s="16" t="s">
        <v>175</v>
      </c>
      <c r="F8" s="33" t="n">
        <f aca="false">總覽!B7</f>
        <v>0</v>
      </c>
      <c r="G8" s="30" t="n">
        <v>0</v>
      </c>
      <c r="H8" s="31" t="n">
        <f aca="false">D8+F8+G8</f>
        <v>1900</v>
      </c>
      <c r="I8" s="23" t="n">
        <f aca="false">H8*總覽!$B$5</f>
        <v>399</v>
      </c>
      <c r="J8" s="34" t="s">
        <v>176</v>
      </c>
    </row>
    <row r="9" customFormat="false" ht="15" hidden="false" customHeight="false" outlineLevel="0" collapsed="false">
      <c r="A9" s="20" t="s">
        <v>177</v>
      </c>
      <c r="B9" s="16" t="s">
        <v>178</v>
      </c>
      <c r="C9" s="16" t="s">
        <v>179</v>
      </c>
      <c r="D9" s="30" t="n">
        <v>2690</v>
      </c>
      <c r="E9" s="16" t="s">
        <v>160</v>
      </c>
      <c r="F9" s="30" t="n">
        <v>9000</v>
      </c>
      <c r="G9" s="30" t="n">
        <v>0</v>
      </c>
      <c r="H9" s="31" t="n">
        <f aca="false">D9+F9+G9</f>
        <v>11690</v>
      </c>
      <c r="I9" s="23" t="n">
        <f aca="false">H9*總覽!$B$5</f>
        <v>2454.9</v>
      </c>
      <c r="J9" s="32"/>
    </row>
    <row r="10" customFormat="false" ht="15" hidden="false" customHeight="false" outlineLevel="0" collapsed="false">
      <c r="A10" s="20" t="s">
        <v>180</v>
      </c>
      <c r="B10" s="16" t="s">
        <v>181</v>
      </c>
      <c r="C10" s="20" t="s">
        <v>182</v>
      </c>
      <c r="D10" s="30" t="n">
        <v>1540</v>
      </c>
      <c r="E10" s="20" t="s">
        <v>183</v>
      </c>
      <c r="F10" s="30" t="n">
        <v>0</v>
      </c>
      <c r="G10" s="30" t="n">
        <v>1500</v>
      </c>
      <c r="H10" s="31" t="n">
        <f aca="false">D10+F10+G10</f>
        <v>3040</v>
      </c>
      <c r="I10" s="23" t="n">
        <f aca="false">H10*總覽!$B$5</f>
        <v>638.4</v>
      </c>
      <c r="J10" s="32" t="s">
        <v>184</v>
      </c>
    </row>
    <row r="11" customFormat="false" ht="15" hidden="false" customHeight="false" outlineLevel="0" collapsed="false">
      <c r="A11" s="35" t="s">
        <v>24</v>
      </c>
      <c r="B11" s="16"/>
      <c r="C11" s="16"/>
      <c r="D11" s="36" t="n">
        <f aca="false">SUM(D5:D10)</f>
        <v>10310</v>
      </c>
      <c r="E11" s="16"/>
      <c r="F11" s="36" t="n">
        <f aca="false">SUM(F5:F10)</f>
        <v>46000</v>
      </c>
      <c r="G11" s="36" t="n">
        <f aca="false">SUM(G5:G10)</f>
        <v>5900</v>
      </c>
      <c r="H11" s="36" t="n">
        <f aca="false">SUM(H5:H10)</f>
        <v>62210</v>
      </c>
      <c r="I11" s="37" t="n">
        <f aca="false">SUM(I5:I10)</f>
        <v>13064.1</v>
      </c>
      <c r="J11" s="16"/>
    </row>
    <row r="12" customFormat="false" ht="15" hidden="false" customHeight="false" outlineLevel="0" collapsed="false">
      <c r="A12" s="4" t="s">
        <v>185</v>
      </c>
      <c r="H12" s="38" t="n">
        <v>5000</v>
      </c>
      <c r="J12" s="2" t="s">
        <v>186</v>
      </c>
    </row>
    <row r="13" customFormat="false" ht="15" hidden="false" customHeight="false" outlineLevel="0" collapsed="false">
      <c r="A13" s="4" t="s">
        <v>187</v>
      </c>
      <c r="H13" s="39" t="n">
        <f aca="false">H12*6</f>
        <v>30000</v>
      </c>
      <c r="I13" s="40" t="n">
        <f aca="false">H13*總覽!$B$5</f>
        <v>6300</v>
      </c>
    </row>
    <row r="14" customFormat="false" ht="15" hidden="false" customHeight="false" outlineLevel="0" collapsed="false">
      <c r="A14" s="3" t="s">
        <v>188</v>
      </c>
      <c r="I14" s="18" t="n">
        <f aca="false">I11+I13</f>
        <v>19364.1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189</v>
      </c>
      <c r="B1" s="8" t="s">
        <v>190</v>
      </c>
      <c r="C1" s="8" t="s">
        <v>191</v>
      </c>
      <c r="D1" s="8" t="s">
        <v>156</v>
      </c>
    </row>
    <row r="2" customFormat="false" ht="15" hidden="false" customHeight="false" outlineLevel="0" collapsed="false">
      <c r="A2" s="16" t="s">
        <v>192</v>
      </c>
      <c r="B2" s="20" t="s">
        <v>193</v>
      </c>
      <c r="C2" s="41" t="s">
        <v>194</v>
      </c>
      <c r="D2" s="16" t="s">
        <v>195</v>
      </c>
    </row>
    <row r="3" customFormat="false" ht="15" hidden="false" customHeight="false" outlineLevel="0" collapsed="false">
      <c r="A3" s="16" t="s">
        <v>196</v>
      </c>
      <c r="B3" s="20" t="s">
        <v>193</v>
      </c>
      <c r="C3" s="41" t="s">
        <v>194</v>
      </c>
      <c r="D3" s="16" t="s">
        <v>197</v>
      </c>
    </row>
    <row r="4" customFormat="false" ht="15" hidden="false" customHeight="false" outlineLevel="0" collapsed="false">
      <c r="A4" s="16" t="s">
        <v>198</v>
      </c>
      <c r="B4" s="20" t="s">
        <v>193</v>
      </c>
      <c r="C4" s="41" t="s">
        <v>194</v>
      </c>
      <c r="D4" s="16" t="s">
        <v>199</v>
      </c>
    </row>
    <row r="5" customFormat="false" ht="15" hidden="false" customHeight="false" outlineLevel="0" collapsed="false">
      <c r="A5" s="16" t="s">
        <v>200</v>
      </c>
      <c r="B5" s="20" t="s">
        <v>201</v>
      </c>
      <c r="C5" s="41" t="s">
        <v>194</v>
      </c>
      <c r="D5" s="16" t="s">
        <v>202</v>
      </c>
    </row>
    <row r="6" customFormat="false" ht="15" hidden="false" customHeight="false" outlineLevel="0" collapsed="false">
      <c r="A6" s="16" t="s">
        <v>203</v>
      </c>
      <c r="B6" s="20" t="s">
        <v>204</v>
      </c>
      <c r="C6" s="41" t="s">
        <v>194</v>
      </c>
      <c r="D6" s="16" t="s">
        <v>205</v>
      </c>
    </row>
    <row r="7" customFormat="false" ht="15" hidden="false" customHeight="false" outlineLevel="0" collapsed="false">
      <c r="A7" s="16" t="s">
        <v>206</v>
      </c>
      <c r="B7" s="20" t="s">
        <v>207</v>
      </c>
      <c r="C7" s="41" t="s">
        <v>194</v>
      </c>
      <c r="D7" s="20" t="s">
        <v>208</v>
      </c>
    </row>
    <row r="8" customFormat="false" ht="15" hidden="false" customHeight="false" outlineLevel="0" collapsed="false">
      <c r="A8" s="16" t="s">
        <v>209</v>
      </c>
      <c r="B8" s="16" t="s">
        <v>210</v>
      </c>
      <c r="C8" s="41" t="s">
        <v>194</v>
      </c>
      <c r="D8" s="16" t="s">
        <v>211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212</v>
      </c>
      <c r="B1" s="8" t="s">
        <v>213</v>
      </c>
    </row>
    <row r="2" customFormat="false" ht="14.15" hidden="false" customHeight="false" outlineLevel="0" collapsed="false">
      <c r="A2" s="4" t="s">
        <v>214</v>
      </c>
      <c r="B2" s="42" t="s">
        <v>215</v>
      </c>
    </row>
    <row r="3" customFormat="false" ht="14.15" hidden="false" customHeight="false" outlineLevel="0" collapsed="false">
      <c r="A3" s="4" t="s">
        <v>216</v>
      </c>
      <c r="B3" s="42" t="s">
        <v>217</v>
      </c>
    </row>
    <row r="4" customFormat="false" ht="14.15" hidden="false" customHeight="false" outlineLevel="0" collapsed="false">
      <c r="A4" s="43" t="s">
        <v>218</v>
      </c>
      <c r="B4" s="42" t="s">
        <v>219</v>
      </c>
    </row>
    <row r="5" customFormat="false" ht="14.15" hidden="false" customHeight="false" outlineLevel="0" collapsed="false">
      <c r="A5" s="43" t="s">
        <v>220</v>
      </c>
      <c r="B5" s="42" t="s">
        <v>221</v>
      </c>
    </row>
    <row r="6" customFormat="false" ht="14.15" hidden="false" customHeight="false" outlineLevel="0" collapsed="false">
      <c r="A6" s="43" t="s">
        <v>222</v>
      </c>
      <c r="B6" s="42" t="s">
        <v>223</v>
      </c>
    </row>
    <row r="7" customFormat="false" ht="14.15" hidden="false" customHeight="false" outlineLevel="0" collapsed="false">
      <c r="A7" s="43" t="s">
        <v>224</v>
      </c>
      <c r="B7" s="42" t="s">
        <v>225</v>
      </c>
    </row>
    <row r="8" customFormat="false" ht="14.15" hidden="false" customHeight="false" outlineLevel="0" collapsed="false">
      <c r="A8" s="43" t="s">
        <v>226</v>
      </c>
      <c r="B8" s="42" t="s">
        <v>227</v>
      </c>
    </row>
    <row r="9" customFormat="false" ht="15" hidden="false" customHeight="false" outlineLevel="0" collapsed="false">
      <c r="A9" s="4" t="s">
        <v>228</v>
      </c>
      <c r="B9" s="42" t="s">
        <v>229</v>
      </c>
    </row>
    <row r="10" customFormat="false" ht="14.15" hidden="false" customHeight="false" outlineLevel="0" collapsed="false">
      <c r="A10" s="43" t="s">
        <v>230</v>
      </c>
      <c r="B10" s="42" t="s">
        <v>231</v>
      </c>
    </row>
    <row r="11" customFormat="false" ht="14.15" hidden="false" customHeight="false" outlineLevel="0" collapsed="false">
      <c r="A11" s="43" t="s">
        <v>232</v>
      </c>
      <c r="B11" s="42" t="s">
        <v>233</v>
      </c>
    </row>
    <row r="12" customFormat="false" ht="15" hidden="false" customHeight="false" outlineLevel="0" collapsed="false">
      <c r="A12" s="4" t="s">
        <v>234</v>
      </c>
      <c r="B12" s="42" t="s">
        <v>235</v>
      </c>
    </row>
    <row r="13" customFormat="false" ht="15" hidden="false" customHeight="false" outlineLevel="0" collapsed="false">
      <c r="A13" s="4" t="s">
        <v>236</v>
      </c>
      <c r="B13" s="42" t="s">
        <v>237</v>
      </c>
    </row>
    <row r="14" customFormat="false" ht="15" hidden="false" customHeight="false" outlineLevel="0" collapsed="false">
      <c r="A14" s="4" t="s">
        <v>238</v>
      </c>
      <c r="B14" s="42" t="s">
        <v>239</v>
      </c>
    </row>
    <row r="15" customFormat="false" ht="15" hidden="false" customHeight="false" outlineLevel="0" collapsed="false">
      <c r="A15" s="4" t="s">
        <v>240</v>
      </c>
      <c r="B15" s="42" t="s">
        <v>241</v>
      </c>
    </row>
    <row r="16" customFormat="false" ht="15" hidden="false" customHeight="false" outlineLevel="0" collapsed="false">
      <c r="A16" s="4" t="s">
        <v>242</v>
      </c>
      <c r="B16" s="42" t="s">
        <v>243</v>
      </c>
    </row>
    <row r="17" customFormat="false" ht="14.15" hidden="false" customHeight="false" outlineLevel="0" collapsed="false">
      <c r="A17" s="4" t="s">
        <v>244</v>
      </c>
      <c r="B17" s="42" t="s">
        <v>245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2026-09-30T06:40:57Z</dcterms:created>
  <dc:creator>openpyxl</dc:creator>
  <dc:description/>
  <dc:language>en-US</dc:language>
  <cp:lastModifiedBy/>
  <dcterms:modified xsi:type="dcterms:W3CDTF">2026-09-30T06:40:57Z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